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omments2.xml" ContentType="application/vnd.openxmlformats-officedocument.spreadsheetml.comments+xml"/>
  <Override PartName="/xl/drawings/drawing2.xml" ContentType="application/vnd.openxmlformats-officedocument.drawing+xml"/>
  <Override PartName="/xl/comments3.xml" ContentType="application/vnd.openxmlformats-officedocument.spreadsheetml.comments+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817"/>
  <workbookPr showInkAnnotation="0" autoCompressPictures="0"/>
  <mc:AlternateContent xmlns:mc="http://schemas.openxmlformats.org/markup-compatibility/2006">
    <mc:Choice Requires="x15">
      <x15ac:absPath xmlns:x15ac="http://schemas.microsoft.com/office/spreadsheetml/2010/11/ac" url="/Users/mz/Documents/webpages/michaelczeller.github.io/book/book_pres/"/>
    </mc:Choice>
  </mc:AlternateContent>
  <xr:revisionPtr revIDLastSave="0" documentId="13_ncr:1_{A33C37F6-4491-3E45-BCEA-64F39A45F167}" xr6:coauthVersionLast="47" xr6:coauthVersionMax="47" xr10:uidLastSave="{00000000-0000-0000-0000-000000000000}"/>
  <bookViews>
    <workbookView xWindow="60" yWindow="500" windowWidth="28740" windowHeight="14800" tabRatio="500" activeTab="9" xr2:uid="{00000000-000D-0000-FFFF-FFFF00000000}"/>
  </bookViews>
  <sheets>
    <sheet name="Campaigns" sheetId="2" r:id="rId1"/>
    <sheet name="codebook" sheetId="3" r:id="rId2"/>
    <sheet name="UK_council" sheetId="8" r:id="rId3"/>
    <sheet name="fin_bnp" sheetId="9" r:id="rId4"/>
    <sheet name="fin_dvu" sheetId="10" r:id="rId5"/>
    <sheet name="ENG_crime" sheetId="16" r:id="rId6"/>
    <sheet name="GER_crime" sheetId="12" r:id="rId7"/>
    <sheet name="GER_org" sheetId="11" r:id="rId8"/>
    <sheet name="GER_pol" sheetId="15" r:id="rId9"/>
    <sheet name="AUS_crime" sheetId="13" r:id="rId10"/>
    <sheet name="AUS_pol" sheetId="14" r:id="rId11"/>
  </sheets>
  <externalReferences>
    <externalReference r:id="rId12"/>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O282" i="8" l="1"/>
  <c r="M282" i="8"/>
  <c r="O246" i="8"/>
  <c r="M246" i="8"/>
  <c r="M143" i="8"/>
  <c r="O75" i="8"/>
  <c r="O74" i="8"/>
  <c r="O73" i="8"/>
  <c r="O72" i="8"/>
  <c r="O71" i="8"/>
  <c r="O70" i="8"/>
  <c r="O69" i="8"/>
  <c r="O68" i="8"/>
  <c r="O67" i="8"/>
  <c r="O143" i="8" s="1"/>
  <c r="M62" i="8"/>
  <c r="O53" i="8"/>
  <c r="O49" i="8"/>
  <c r="O42" i="8"/>
  <c r="O40" i="8"/>
  <c r="O39" i="8"/>
  <c r="O38" i="8"/>
  <c r="O37" i="8"/>
  <c r="O36" i="8"/>
  <c r="O34" i="8"/>
  <c r="O33" i="8"/>
  <c r="O31" i="8"/>
  <c r="O30" i="8"/>
  <c r="O26" i="8"/>
  <c r="O62" i="8" s="1"/>
  <c r="O18" i="8"/>
  <c r="B14" i="8"/>
  <c r="O13" i="8"/>
  <c r="O11" i="8"/>
  <c r="O10" i="8"/>
  <c r="O7" i="8"/>
  <c r="B129" i="1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Michael Zeller</author>
  </authors>
  <commentList>
    <comment ref="H1" authorId="0" shapeId="0" xr:uid="{00000000-0006-0000-0100-000001000000}">
      <text>
        <r>
          <rPr>
            <b/>
            <sz val="9"/>
            <color rgb="FF000000"/>
            <rFont val="Calibri"/>
            <family val="2"/>
            <charset val="204"/>
          </rPr>
          <t>as of 31 Dec 2019</t>
        </r>
      </text>
    </comment>
    <comment ref="I1" authorId="0" shapeId="0" xr:uid="{56426C38-9C08-5942-B450-E020F1CC1CD6}">
      <text>
        <r>
          <rPr>
            <b/>
            <sz val="10"/>
            <color rgb="FF000000"/>
            <rFont val="Tahoma"/>
            <family val="2"/>
          </rPr>
          <t>ongoing?</t>
        </r>
      </text>
    </comment>
    <comment ref="J1" authorId="0" shapeId="0" xr:uid="{925D741A-5527-5045-A8A9-0289240F43F3}">
      <text>
        <r>
          <rPr>
            <b/>
            <sz val="10"/>
            <color rgb="FF000000"/>
            <rFont val="Tahoma"/>
            <family val="2"/>
          </rPr>
          <t>Number of events</t>
        </r>
        <r>
          <rPr>
            <sz val="10"/>
            <color rgb="FF000000"/>
            <rFont val="Tahoma"/>
            <family val="2"/>
          </rPr>
          <t xml:space="preserve">
</t>
        </r>
      </text>
    </comment>
    <comment ref="K1" authorId="0" shapeId="0" xr:uid="{58611CC6-2353-3348-8E06-B412EE202B88}">
      <text>
        <r>
          <rPr>
            <b/>
            <sz val="10"/>
            <color rgb="FF000000"/>
            <rFont val="Tahoma"/>
            <family val="2"/>
          </rPr>
          <t>average size</t>
        </r>
      </text>
    </comment>
    <comment ref="L1" authorId="0" shapeId="0" xr:uid="{2C9A632A-23D0-9F40-9430-941C2920BD9A}">
      <text>
        <r>
          <rPr>
            <b/>
            <sz val="10"/>
            <color rgb="FF000000"/>
            <rFont val="Tahoma"/>
            <family val="2"/>
          </rPr>
          <t>largest mobilisation</t>
        </r>
      </text>
    </comment>
    <comment ref="M1" authorId="0" shapeId="0" xr:uid="{8806B218-B570-B64C-AA70-AC7E55D27052}">
      <text>
        <r>
          <rPr>
            <b/>
            <sz val="10"/>
            <color rgb="FF000000"/>
            <rFont val="Tahoma"/>
            <family val="2"/>
          </rPr>
          <t>smallest mobilisation</t>
        </r>
      </text>
    </comment>
    <comment ref="AQ1" authorId="0" shapeId="0" xr:uid="{00000000-0006-0000-0100-000007000000}">
      <text>
        <r>
          <rPr>
            <b/>
            <sz val="9"/>
            <color rgb="FF000000"/>
            <rFont val="Calibri"/>
            <family val="2"/>
            <charset val="204"/>
          </rPr>
          <t>Observation of ceased interventions in demonstration campaign (CRISP SET)--I presume because FR campaigns are intended to continue, if ceased interventions occur it is negative demobilisation; internal splits may be the cause, as well as external causal conditions, as is the concentration of this study</t>
        </r>
      </text>
    </comment>
    <comment ref="AR1" authorId="0" shapeId="0" xr:uid="{00000000-0006-0000-0100-000008000000}">
      <text>
        <r>
          <rPr>
            <b/>
            <sz val="9"/>
            <color rgb="FF000000"/>
            <rFont val="Calibri"/>
            <family val="2"/>
            <charset val="204"/>
          </rPr>
          <t xml:space="preserve">Observation of (unarrested) decreased demonstration size in campaign (fuzzy set) over repeated events-- internal splits may be the cause, as well as external causal conditions, as is the concentration of this study
</t>
        </r>
        <r>
          <rPr>
            <b/>
            <sz val="9"/>
            <color rgb="FF000000"/>
            <rFont val="Calibri"/>
            <family val="2"/>
            <charset val="204"/>
          </rPr>
          <t xml:space="preserve">
</t>
        </r>
        <r>
          <rPr>
            <b/>
            <sz val="9"/>
            <color rgb="FF000000"/>
            <rFont val="Calibri"/>
            <family val="2"/>
            <charset val="204"/>
          </rPr>
          <t xml:space="preserve">(based on latest event, applies to cases periodised by 2015)
</t>
        </r>
        <r>
          <rPr>
            <b/>
            <sz val="9"/>
            <color rgb="FF000000"/>
            <rFont val="Calibri"/>
            <family val="2"/>
            <charset val="204"/>
          </rPr>
          <t xml:space="preserve">1: fewer than 100 participants
</t>
        </r>
        <r>
          <rPr>
            <b/>
            <sz val="9"/>
            <color rgb="FF000000"/>
            <rFont val="Calibri"/>
            <family val="2"/>
            <charset val="204"/>
          </rPr>
          <t xml:space="preserve">0.67: fewer than 200 participants, but more than 100
</t>
        </r>
        <r>
          <rPr>
            <b/>
            <sz val="9"/>
            <color rgb="FF000000"/>
            <rFont val="Calibri"/>
            <family val="2"/>
            <charset val="204"/>
          </rPr>
          <t xml:space="preserve">0.33: fewer than 500 participants, but more than 200
</t>
        </r>
        <r>
          <rPr>
            <b/>
            <sz val="9"/>
            <color rgb="FF000000"/>
            <rFont val="Calibri"/>
            <family val="2"/>
            <charset val="204"/>
          </rPr>
          <t xml:space="preserve">0: fewer than 1000 participants, but more than 500
</t>
        </r>
      </text>
    </comment>
    <comment ref="AS1" authorId="0" shapeId="0" xr:uid="{00000000-0006-0000-0100-000009000000}">
      <text>
        <r>
          <rPr>
            <b/>
            <sz val="9"/>
            <color rgb="FF000000"/>
            <rFont val="Calibri"/>
            <family val="2"/>
            <charset val="204"/>
          </rPr>
          <t>A combined outcome. If no further events occur, then ND has occurred. Absent then, ND by degree may occur</t>
        </r>
      </text>
    </comment>
    <comment ref="AT1" authorId="0" shapeId="0" xr:uid="{00000000-0006-0000-0100-00000A000000}">
      <text>
        <r>
          <rPr>
            <b/>
            <sz val="11"/>
            <color indexed="81"/>
            <rFont val="Calibri"/>
            <family val="2"/>
          </rPr>
          <t xml:space="preserve">State Channelling:
</t>
        </r>
      </text>
    </comment>
    <comment ref="AU1" authorId="0" shapeId="0" xr:uid="{00000000-0006-0000-0100-00000B000000}">
      <text>
        <r>
          <rPr>
            <b/>
            <sz val="11"/>
            <color rgb="FF000000"/>
            <rFont val="Calibri"/>
            <family val="2"/>
          </rPr>
          <t xml:space="preserve">State Coercion (social control): </t>
        </r>
      </text>
    </comment>
    <comment ref="AV1" authorId="0" shapeId="0" xr:uid="{00000000-0006-0000-0100-00000C000000}">
      <text>
        <r>
          <rPr>
            <b/>
            <sz val="11"/>
            <color rgb="FF000000"/>
            <rFont val="Calibri"/>
            <family val="2"/>
          </rPr>
          <t xml:space="preserve">Private Coercion (social control): </t>
        </r>
      </text>
    </comment>
    <comment ref="AW1" authorId="0" shapeId="0" xr:uid="{00000000-0006-0000-0100-00000D000000}">
      <text>
        <r>
          <rPr>
            <b/>
            <sz val="11"/>
            <color rgb="FF000000"/>
            <rFont val="Calibri"/>
            <family val="2"/>
          </rPr>
          <t xml:space="preserve">Private Channelling (social control): </t>
        </r>
      </text>
    </comment>
    <comment ref="AX1" authorId="0" shapeId="0" xr:uid="{00000000-0006-0000-0100-00000E000000}">
      <text>
        <r>
          <rPr>
            <b/>
            <sz val="11"/>
            <color rgb="FF000000"/>
            <rFont val="Calibri"/>
            <family val="2"/>
          </rPr>
          <t>Long Duration: involving 10 separate events or more</t>
        </r>
      </text>
    </comment>
    <comment ref="AV2" authorId="0" shapeId="0" xr:uid="{00000000-0006-0000-0100-00000F000000}">
      <text>
        <r>
          <rPr>
            <b/>
            <sz val="9"/>
            <color rgb="FF000000"/>
            <rFont val="Calibri"/>
            <family val="2"/>
            <charset val="204"/>
          </rPr>
          <t>violence counter-demonstration at first two events, in Wien; not much in Spielfeld</t>
        </r>
      </text>
    </comment>
    <comment ref="AW2" authorId="0" shapeId="0" xr:uid="{00000000-0006-0000-0100-000010000000}">
      <text>
        <r>
          <rPr>
            <b/>
            <sz val="9"/>
            <color indexed="81"/>
            <rFont val="Calibri"/>
            <family val="2"/>
            <charset val="204"/>
          </rPr>
          <t>counter-demonstration at penultimate event</t>
        </r>
      </text>
    </comment>
    <comment ref="AT3" authorId="0" shapeId="0" xr:uid="{00000000-0006-0000-0100-000011000000}">
      <text>
        <r>
          <rPr>
            <b/>
            <sz val="9"/>
            <color indexed="81"/>
            <rFont val="Calibri"/>
            <family val="2"/>
            <charset val="204"/>
          </rPr>
          <t>some regional-level measures taken on account of NSU revelations: https://de.indymedia.org/2012/09/334412.shtml</t>
        </r>
      </text>
    </comment>
    <comment ref="AU3" authorId="0" shapeId="0" xr:uid="{00000000-0006-0000-0100-000012000000}">
      <text>
        <r>
          <rPr>
            <b/>
            <sz val="9"/>
            <color indexed="81"/>
            <rFont val="Calibri"/>
            <family val="2"/>
            <charset val="204"/>
          </rPr>
          <t>no real coercive use applied; distal, channelling by regional authorities</t>
        </r>
      </text>
    </comment>
    <comment ref="AV3" authorId="0" shapeId="0" xr:uid="{00000000-0006-0000-0100-000013000000}">
      <text>
        <r>
          <rPr>
            <b/>
            <sz val="9"/>
            <color rgb="FF000000"/>
            <rFont val="Calibri"/>
            <family val="2"/>
            <charset val="204"/>
          </rPr>
          <t>clashes between Antifa and FR activists in 2011 event</t>
        </r>
      </text>
    </comment>
    <comment ref="AW3" authorId="0" shapeId="0" xr:uid="{00000000-0006-0000-0100-000014000000}">
      <text>
        <r>
          <rPr>
            <b/>
            <sz val="9"/>
            <color indexed="81"/>
            <rFont val="Calibri"/>
            <family val="2"/>
            <charset val="204"/>
          </rPr>
          <t>large, simultaneous counter-demonstrations</t>
        </r>
      </text>
    </comment>
    <comment ref="AT4" authorId="0" shapeId="0" xr:uid="{00000000-0006-0000-0100-000015000000}">
      <text>
        <r>
          <rPr>
            <b/>
            <sz val="9"/>
            <color indexed="81"/>
            <rFont val="Calibri"/>
            <family val="2"/>
            <charset val="204"/>
          </rPr>
          <t>local ban by authorities on particular aspects of the demonstration</t>
        </r>
        <r>
          <rPr>
            <sz val="9"/>
            <color indexed="81"/>
            <rFont val="Calibri"/>
            <family val="2"/>
            <charset val="204"/>
          </rPr>
          <t xml:space="preserve">
</t>
        </r>
      </text>
    </comment>
    <comment ref="AV4" authorId="0" shapeId="0" xr:uid="{00000000-0006-0000-0100-000016000000}">
      <text>
        <r>
          <rPr>
            <b/>
            <sz val="9"/>
            <color indexed="81"/>
            <rFont val="Calibri"/>
            <family val="2"/>
            <charset val="204"/>
          </rPr>
          <t>blockades used repeatedly</t>
        </r>
      </text>
    </comment>
    <comment ref="AW4" authorId="0" shapeId="0" xr:uid="{00000000-0006-0000-0100-000017000000}">
      <text>
        <r>
          <rPr>
            <b/>
            <sz val="9"/>
            <color rgb="FF000000"/>
            <rFont val="Calibri"/>
            <family val="2"/>
            <charset val="204"/>
          </rPr>
          <t>creative disruption tactics used, as well as civil counter-mobilisation that lobbied local authorities</t>
        </r>
      </text>
    </comment>
    <comment ref="AT5" authorId="0" shapeId="0" xr:uid="{00000000-0006-0000-0100-000018000000}">
      <text>
        <r>
          <rPr>
            <b/>
            <sz val="9"/>
            <color rgb="FF000000"/>
            <rFont val="Calibri"/>
            <family val="2"/>
            <charset val="204"/>
          </rPr>
          <t>bans on David Irving's speeches and some other such content in early 1990s</t>
        </r>
      </text>
    </comment>
    <comment ref="AW5" authorId="0" shapeId="0" xr:uid="{00000000-0006-0000-0100-000019000000}">
      <text>
        <r>
          <rPr>
            <b/>
            <sz val="9"/>
            <color rgb="FF000000"/>
            <rFont val="Calibri"/>
            <family val="2"/>
            <charset val="204"/>
          </rPr>
          <t>catering company refuses to offer/allow alcohol at event, as well as repeated joint legal efforts</t>
        </r>
      </text>
    </comment>
    <comment ref="AT6" authorId="0" shapeId="0" xr:uid="{00000000-0006-0000-0100-00001A000000}">
      <text>
        <r>
          <rPr>
            <b/>
            <sz val="9"/>
            <color rgb="FF000000"/>
            <rFont val="Calibri"/>
            <family val="2"/>
            <charset val="204"/>
          </rPr>
          <t>supportive statements from some local, regional, and national politicians</t>
        </r>
      </text>
    </comment>
    <comment ref="AU6" authorId="0" shapeId="0" xr:uid="{00000000-0006-0000-0100-00001B000000}">
      <text>
        <r>
          <rPr>
            <b/>
            <sz val="9"/>
            <color rgb="FF000000"/>
            <rFont val="Calibri"/>
            <family val="2"/>
            <charset val="204"/>
          </rPr>
          <t>some limited bans, but made on grounds of logistics (not enough police--static rally)</t>
        </r>
      </text>
    </comment>
    <comment ref="AW6" authorId="0" shapeId="0" xr:uid="{00000000-0006-0000-0100-00001C000000}">
      <text>
        <r>
          <rPr>
            <b/>
            <sz val="9"/>
            <color rgb="FF000000"/>
            <rFont val="Calibri"/>
            <family val="2"/>
            <charset val="204"/>
          </rPr>
          <t>repeated dimming of lights; simultaneous counter-demos late in 2015</t>
        </r>
      </text>
    </comment>
    <comment ref="AQ7" authorId="0" shapeId="0" xr:uid="{00000000-0006-0000-0100-00001D000000}">
      <text>
        <r>
          <rPr>
            <b/>
            <sz val="9"/>
            <color rgb="FF000000"/>
            <rFont val="Calibri"/>
            <family val="2"/>
            <charset val="204"/>
          </rPr>
          <t>event in 2010 cancelled by organisers, no explanation given</t>
        </r>
      </text>
    </comment>
    <comment ref="AR7" authorId="0" shapeId="0" xr:uid="{00000000-0006-0000-0100-00001E000000}">
      <text>
        <r>
          <rPr>
            <b/>
            <sz val="9"/>
            <color rgb="FF000000"/>
            <rFont val="Calibri"/>
            <family val="2"/>
            <charset val="204"/>
          </rPr>
          <t>2009 event was quite small</t>
        </r>
      </text>
    </comment>
    <comment ref="AT7" authorId="0" shapeId="0" xr:uid="{00000000-0006-0000-0100-00001F000000}">
      <text>
        <r>
          <rPr>
            <b/>
            <sz val="9"/>
            <color rgb="FF000000"/>
            <rFont val="Calibri"/>
            <family val="2"/>
            <charset val="204"/>
          </rPr>
          <t>2006 event cancelled because of World Cup, but two later events (2007, 2008, 2009) took place</t>
        </r>
      </text>
    </comment>
    <comment ref="AV7" authorId="0" shapeId="0" xr:uid="{00000000-0006-0000-0100-000020000000}">
      <text>
        <r>
          <rPr>
            <b/>
            <sz val="9"/>
            <color indexed="81"/>
            <rFont val="Calibri"/>
            <family val="2"/>
            <charset val="204"/>
          </rPr>
          <t>blockades used repeatedly</t>
        </r>
      </text>
    </comment>
    <comment ref="AW7" authorId="0" shapeId="0" xr:uid="{00000000-0006-0000-0100-000021000000}">
      <text>
        <r>
          <rPr>
            <b/>
            <sz val="9"/>
            <color rgb="FF000000"/>
            <rFont val="Calibri"/>
            <family val="2"/>
            <charset val="204"/>
          </rPr>
          <t>repeated civic counter-demonstrations</t>
        </r>
      </text>
    </comment>
    <comment ref="A8" authorId="0" shapeId="0" xr:uid="{00000000-0006-0000-0100-000022000000}">
      <text>
        <r>
          <rPr>
            <b/>
            <sz val="9"/>
            <color rgb="FF000000"/>
            <rFont val="Calibri"/>
            <family val="2"/>
            <charset val="204"/>
          </rPr>
          <t>occurred within a massive wave of FR mobilisation across Sachsen</t>
        </r>
      </text>
    </comment>
    <comment ref="AQ8" authorId="0" shapeId="0" xr:uid="{00000000-0006-0000-0100-000023000000}">
      <text>
        <r>
          <rPr>
            <b/>
            <sz val="9"/>
            <color indexed="81"/>
            <rFont val="Calibri"/>
            <family val="2"/>
            <charset val="204"/>
          </rPr>
          <t>positive demobilisation, or at least non-negative demobilisation
https://www.freiepresse.de/erzgebirge/aue/schneeberg-freigeist-geht-in-demopause-artikel9363157
------------------------
on the other hand, that freiepresse article makes explicit that Hartung finds the organisation too time consuming, so this sounds like ND</t>
        </r>
      </text>
    </comment>
    <comment ref="AQ9" authorId="0" shapeId="0" xr:uid="{00000000-0006-0000-0100-000024000000}">
      <text>
        <r>
          <rPr>
            <b/>
            <sz val="9"/>
            <color indexed="81"/>
            <rFont val="Calibri"/>
            <family val="2"/>
            <charset val="204"/>
          </rPr>
          <t>positive demobilisation</t>
        </r>
      </text>
    </comment>
    <comment ref="AT9" authorId="0" shapeId="0" xr:uid="{00000000-0006-0000-0100-000025000000}">
      <text>
        <r>
          <rPr>
            <b/>
            <sz val="9"/>
            <color indexed="81"/>
            <rFont val="Calibri"/>
            <family val="2"/>
            <charset val="204"/>
          </rPr>
          <t>some CDU politicians voice (FR supportive) opposition to Wehrmachtsausstellung</t>
        </r>
      </text>
    </comment>
    <comment ref="AU9" authorId="0" shapeId="0" xr:uid="{00000000-0006-0000-0100-000026000000}">
      <text>
        <r>
          <rPr>
            <b/>
            <sz val="9"/>
            <color rgb="FF000000"/>
            <rFont val="Calibri"/>
            <family val="2"/>
            <charset val="204"/>
          </rPr>
          <t>numerous, repeated, proximate arrests of far-right activists</t>
        </r>
      </text>
    </comment>
    <comment ref="AV9" authorId="0" shapeId="0" xr:uid="{00000000-0006-0000-0100-000027000000}">
      <text>
        <r>
          <rPr>
            <b/>
            <sz val="9"/>
            <color indexed="81"/>
            <rFont val="Calibri"/>
            <family val="2"/>
            <charset val="204"/>
          </rPr>
          <t>blockades used repeatedl; numerous clashes between opposed activists</t>
        </r>
      </text>
    </comment>
    <comment ref="AU10" authorId="0" shapeId="0" xr:uid="{00000000-0006-0000-0100-000028000000}">
      <text>
        <r>
          <rPr>
            <b/>
            <sz val="9"/>
            <color indexed="81"/>
            <rFont val="Calibri"/>
            <family val="2"/>
            <charset val="204"/>
          </rPr>
          <t>repeated arrests of FR activists early in the campaign</t>
        </r>
      </text>
    </comment>
    <comment ref="AV10" authorId="0" shapeId="0" xr:uid="{00000000-0006-0000-0100-000029000000}">
      <text>
        <r>
          <rPr>
            <b/>
            <sz val="9"/>
            <color indexed="81"/>
            <rFont val="Calibri"/>
            <family val="2"/>
            <charset val="204"/>
          </rPr>
          <t>blockades and violent clashes between police and AFR activists</t>
        </r>
      </text>
    </comment>
    <comment ref="AT11" authorId="0" shapeId="0" xr:uid="{00000000-0006-0000-0100-00002A000000}">
      <text>
        <r>
          <rPr>
            <b/>
            <sz val="9"/>
            <color indexed="81"/>
            <rFont val="Calibri"/>
            <family val="2"/>
            <charset val="204"/>
          </rPr>
          <t>organisational bans on several participating in Hess march; general crackdown in mid-1990s</t>
        </r>
      </text>
    </comment>
    <comment ref="AU11" authorId="0" shapeId="0" xr:uid="{00000000-0006-0000-0100-00002B000000}">
      <text>
        <r>
          <rPr>
            <b/>
            <sz val="9"/>
            <color indexed="81"/>
            <rFont val="Calibri"/>
            <family val="2"/>
            <charset val="204"/>
          </rPr>
          <t>local bans, mass police resistance/arrests</t>
        </r>
      </text>
    </comment>
    <comment ref="AV11" authorId="0" shapeId="0" xr:uid="{00000000-0006-0000-0100-00002C000000}">
      <text>
        <r>
          <rPr>
            <b/>
            <sz val="9"/>
            <color indexed="81"/>
            <rFont val="Calibri"/>
            <family val="2"/>
            <charset val="204"/>
          </rPr>
          <t>repeated, violent counter-mobilisation</t>
        </r>
      </text>
    </comment>
    <comment ref="AW11" authorId="0" shapeId="0" xr:uid="{00000000-0006-0000-0100-00002D000000}">
      <text>
        <r>
          <rPr>
            <b/>
            <sz val="9"/>
            <color indexed="81"/>
            <rFont val="Calibri"/>
            <family val="2"/>
            <charset val="204"/>
          </rPr>
          <t>seemingly no private attempt to lobby state for action or other such channelling</t>
        </r>
      </text>
    </comment>
    <comment ref="B12" authorId="0" shapeId="0" xr:uid="{00000000-0006-0000-0100-00002E000000}">
      <text>
        <r>
          <rPr>
            <b/>
            <sz val="9"/>
            <color rgb="FF000000"/>
            <rFont val="Calibri"/>
            <family val="2"/>
            <charset val="204"/>
          </rPr>
          <t>See Virchow2013 article</t>
        </r>
      </text>
    </comment>
    <comment ref="AT12" authorId="0" shapeId="0" xr:uid="{00000000-0006-0000-0100-00002F000000}">
      <text>
        <r>
          <rPr>
            <b/>
            <sz val="9"/>
            <color indexed="81"/>
            <rFont val="Calibri"/>
            <family val="2"/>
            <charset val="204"/>
          </rPr>
          <t>new national law, StGB 130.4 and Wunsiedel decision</t>
        </r>
      </text>
    </comment>
    <comment ref="AU12" authorId="0" shapeId="0" xr:uid="{00000000-0006-0000-0100-000030000000}">
      <text>
        <r>
          <rPr>
            <b/>
            <sz val="9"/>
            <color rgb="FF000000"/>
            <rFont val="Calibri"/>
            <family val="2"/>
            <charset val="204"/>
          </rPr>
          <t>proximate mass arrests (of FR and AFR activists) at 2004 (i.e., last) event</t>
        </r>
      </text>
    </comment>
    <comment ref="AW12" authorId="0" shapeId="0" xr:uid="{00000000-0006-0000-0100-000031000000}">
      <text>
        <r>
          <rPr>
            <b/>
            <sz val="9"/>
            <color indexed="81"/>
            <rFont val="Calibri"/>
            <family val="2"/>
            <charset val="204"/>
          </rPr>
          <t>repeated civil counter-mobilisation</t>
        </r>
      </text>
    </comment>
    <comment ref="AT13" authorId="0" shapeId="0" xr:uid="{00000000-0006-0000-0100-000032000000}">
      <text>
        <r>
          <rPr>
            <b/>
            <sz val="9"/>
            <color rgb="FF000000"/>
            <rFont val="Calibri"/>
            <family val="2"/>
            <charset val="204"/>
          </rPr>
          <t>stricter policing practices adopted that took the sting out of the rowdiness of HoGeSa's events, proximate and repeated after first event in Köln</t>
        </r>
      </text>
    </comment>
    <comment ref="AU13" authorId="0" shapeId="0" xr:uid="{00000000-0006-0000-0100-000033000000}">
      <text>
        <r>
          <rPr>
            <b/>
            <sz val="9"/>
            <color indexed="81"/>
            <rFont val="Calibri"/>
            <family val="2"/>
            <charset val="204"/>
          </rPr>
          <t>repeated arrests of FR activists early in the campaign</t>
        </r>
      </text>
    </comment>
    <comment ref="AV13" authorId="0" shapeId="0" xr:uid="{00000000-0006-0000-0100-000034000000}">
      <text>
        <r>
          <rPr>
            <b/>
            <sz val="9"/>
            <color rgb="FF000000"/>
            <rFont val="Calibri"/>
            <family val="2"/>
            <charset val="204"/>
          </rPr>
          <t>several attempts by Antifa at violent disruption, but prevented by police</t>
        </r>
      </text>
    </comment>
    <comment ref="AW13" authorId="0" shapeId="0" xr:uid="{00000000-0006-0000-0100-000035000000}">
      <text>
        <r>
          <rPr>
            <b/>
            <sz val="9"/>
            <color indexed="81"/>
            <rFont val="Calibri"/>
            <family val="2"/>
            <charset val="204"/>
          </rPr>
          <t>repeated, proximate large civil counter-mobilisation</t>
        </r>
      </text>
    </comment>
    <comment ref="AQ14" authorId="0" shapeId="0" xr:uid="{00000000-0006-0000-0100-000036000000}">
      <text>
        <r>
          <rPr>
            <b/>
            <sz val="9"/>
            <color indexed="81"/>
            <rFont val="Calibri"/>
            <family val="2"/>
            <charset val="204"/>
          </rPr>
          <t>partial ND by size by end of 2015; brief spike of participation in early 2016 (large demo on 11 Jan; and nearly 1000 at demo on 7 March), but otherwise small throughout 2016--and all demos called off after 10 Jan 2017</t>
        </r>
      </text>
    </comment>
    <comment ref="AR14" authorId="0" shapeId="0" xr:uid="{00000000-0006-0000-0100-000037000000}">
      <text>
        <r>
          <rPr>
            <b/>
            <sz val="9"/>
            <color rgb="FF000000"/>
            <rFont val="Calibri"/>
            <family val="2"/>
            <charset val="204"/>
          </rPr>
          <t>partial ND by size by end of 2015; brief spike of participation in early 2016 (large demo on 11 Jan; and nearly 1000 at demo on 7 March), but otherwise small throughout 2016--and all demos called off after 10 Jan 2017</t>
        </r>
      </text>
    </comment>
    <comment ref="AW14" authorId="0" shapeId="0" xr:uid="{00000000-0006-0000-0100-000038000000}">
      <text>
        <r>
          <rPr>
            <b/>
            <sz val="9"/>
            <color indexed="81"/>
            <rFont val="Calibri"/>
            <family val="2"/>
            <charset val="204"/>
          </rPr>
          <t>repeated civil counter-mobilisation</t>
        </r>
      </text>
    </comment>
    <comment ref="AS15" authorId="0" shapeId="0" xr:uid="{00000000-0006-0000-0100-00003A000000}">
      <text>
        <r>
          <rPr>
            <b/>
            <sz val="9"/>
            <color rgb="FF000000"/>
            <rFont val="Calibri"/>
            <family val="2"/>
            <charset val="204"/>
          </rPr>
          <t xml:space="preserve">competition from PEGIDA as cause of demob? 
</t>
        </r>
        <r>
          <rPr>
            <b/>
            <sz val="9"/>
            <color rgb="FF000000"/>
            <rFont val="Calibri"/>
            <family val="2"/>
            <charset val="204"/>
          </rPr>
          <t>https://blog.zeit.de/stoerungsmelder/2018/07/02/im-erzgebirge-traeumen-neonazis-vom-eigenen-staat_26728</t>
        </r>
        <r>
          <rPr>
            <sz val="9"/>
            <color rgb="FF000000"/>
            <rFont val="Calibri"/>
            <family val="2"/>
            <charset val="204"/>
          </rPr>
          <t xml:space="preserve">
</t>
        </r>
      </text>
    </comment>
    <comment ref="AU15" authorId="0" shapeId="0" xr:uid="{00000000-0006-0000-0100-00003B000000}">
      <text>
        <r>
          <rPr>
            <b/>
            <sz val="9"/>
            <color rgb="FF000000"/>
            <rFont val="Calibri"/>
            <family val="2"/>
            <charset val="204"/>
          </rPr>
          <t>police restrictive of counter-demonstrators</t>
        </r>
      </text>
    </comment>
    <comment ref="AW15" authorId="0" shapeId="0" xr:uid="{00000000-0006-0000-0100-00003C000000}">
      <text>
        <r>
          <rPr>
            <b/>
            <sz val="9"/>
            <color rgb="FF000000"/>
            <rFont val="Calibri"/>
            <family val="2"/>
            <charset val="204"/>
          </rPr>
          <t>repeated, proximate counter-demonstrations (potentially violent, but prevented by police)</t>
        </r>
      </text>
    </comment>
    <comment ref="K16" authorId="0" shapeId="0" xr:uid="{00000000-0006-0000-0100-00003D000000}">
      <text>
        <r>
          <rPr>
            <b/>
            <sz val="9"/>
            <color rgb="FF000000"/>
            <rFont val="Calibri"/>
            <family val="2"/>
            <charset val="204"/>
          </rPr>
          <t>not big enough? Maximum capacity of the Festsaal of the Palais Kaufmännischer Verein Linz is 600 (https://www.oberoesterreich.at/oesterreich-unterkunft/detail/430000424/palais-kaufmaennischer-verein-linz.html#startdate=29.03.2024&amp;enddate=31.03.2024&amp;occupation=2&amp;removeEmptyItems=false); the whole building can only accommodate 1319 people...</t>
        </r>
      </text>
    </comment>
    <comment ref="L16" authorId="0" shapeId="0" xr:uid="{47DEECCA-06B6-FD49-B29A-8F6960F2C229}">
      <text>
        <r>
          <rPr>
            <b/>
            <sz val="9"/>
            <color rgb="FF000000"/>
            <rFont val="Calibri"/>
            <family val="2"/>
            <charset val="204"/>
          </rPr>
          <t>not big enough? Maximum capacity of the Festsaal of the Palais Kaufmännischer Verein Linz is 600 (https://www.oberoesterreich.at/oesterreich-unterkunft/detail/430000424/palais-kaufmaennischer-verein-linz.html#startdate=29.03.2024&amp;enddate=31.03.2024&amp;occupation=2&amp;removeEmptyItems=false); the whole building can only accommodate 1319 people...</t>
        </r>
      </text>
    </comment>
    <comment ref="M16" authorId="0" shapeId="0" xr:uid="{00000000-0006-0000-0100-00003F000000}">
      <text>
        <r>
          <rPr>
            <b/>
            <sz val="9"/>
            <color rgb="FF000000"/>
            <rFont val="Calibri"/>
            <family val="2"/>
            <charset val="204"/>
          </rPr>
          <t>missing</t>
        </r>
      </text>
    </comment>
    <comment ref="AW16" authorId="0" shapeId="0" xr:uid="{00000000-0006-0000-0100-000040000000}">
      <text>
        <r>
          <rPr>
            <b/>
            <sz val="9"/>
            <color rgb="FF000000"/>
            <rFont val="Calibri"/>
            <family val="2"/>
            <charset val="204"/>
          </rPr>
          <t>repeated civil counter-mobilisation</t>
        </r>
      </text>
    </comment>
    <comment ref="AQ17" authorId="0" shapeId="0" xr:uid="{00000000-0006-0000-0100-000041000000}">
      <text>
        <r>
          <rPr>
            <b/>
            <sz val="9"/>
            <color rgb="FF000000"/>
            <rFont val="Calibri"/>
            <family val="2"/>
            <charset val="204"/>
          </rPr>
          <t xml:space="preserve">Ended in 2017, 2018; a renewed mobilisation in 2019, so could be conceived as abeyance:
</t>
        </r>
        <r>
          <rPr>
            <b/>
            <sz val="9"/>
            <color rgb="FF000000"/>
            <rFont val="Calibri"/>
            <family val="2"/>
            <charset val="204"/>
          </rPr>
          <t>https://www.endstation-rechts.de/news/magdeburg-trauermarsch-comeback-gescheitert.html</t>
        </r>
      </text>
    </comment>
    <comment ref="AV17" authorId="0" shapeId="0" xr:uid="{00000000-0006-0000-0100-000043000000}">
      <text>
        <r>
          <rPr>
            <b/>
            <sz val="9"/>
            <color rgb="FF000000"/>
            <rFont val="Calibri"/>
            <family val="2"/>
            <charset val="204"/>
          </rPr>
          <t>blockades and violent clashes between police and AFR activists</t>
        </r>
      </text>
    </comment>
    <comment ref="AW17" authorId="0" shapeId="0" xr:uid="{00000000-0006-0000-0100-000044000000}">
      <text>
        <r>
          <rPr>
            <b/>
            <sz val="9"/>
            <color rgb="FF000000"/>
            <rFont val="Calibri"/>
            <family val="2"/>
            <charset val="204"/>
          </rPr>
          <t>repeated civil counter-mobilisation</t>
        </r>
      </text>
    </comment>
    <comment ref="A18" authorId="0" shapeId="0" xr:uid="{00000000-0006-0000-0100-000045000000}">
      <text>
        <r>
          <rPr>
            <b/>
            <sz val="9"/>
            <color rgb="FF000000"/>
            <rFont val="Calibri"/>
            <family val="2"/>
            <charset val="204"/>
          </rPr>
          <t>https://www.az-wuppertal.de/category/mittenwald/</t>
        </r>
        <r>
          <rPr>
            <sz val="9"/>
            <color rgb="FF000000"/>
            <rFont val="Calibri"/>
            <family val="2"/>
            <charset val="204"/>
          </rPr>
          <t xml:space="preserve">
</t>
        </r>
      </text>
    </comment>
    <comment ref="K18" authorId="0" shapeId="0" xr:uid="{00000000-0006-0000-0100-000046000000}">
      <text>
        <r>
          <rPr>
            <b/>
            <sz val="9"/>
            <color rgb="FF000000"/>
            <rFont val="Calibri"/>
            <family val="2"/>
            <charset val="204"/>
          </rPr>
          <t>average of 1500 imputed for size from 1990 through 2001</t>
        </r>
      </text>
    </comment>
    <comment ref="AQ18" authorId="0" shapeId="0" xr:uid="{00000000-0006-0000-0100-000047000000}">
      <text>
        <r>
          <rPr>
            <b/>
            <sz val="9"/>
            <color indexed="81"/>
            <rFont val="Calibri"/>
            <family val="2"/>
            <charset val="204"/>
          </rPr>
          <t>Pfingstentreffen continued, but smaller: 
https://www.az-wuppertal.de/category/mittenwald/
https://www.merkur.de/lokales/garmisch-partenkirchen/mittenwald-ort29073/mittenwald-burgfriede-am-ehrenmal-vorbei-stoermanoever-bei-gebirgsjaeger-treffen-12150118.html</t>
        </r>
      </text>
    </comment>
    <comment ref="AR18" authorId="0" shapeId="0" xr:uid="{00000000-0006-0000-0100-000048000000}">
      <text>
        <r>
          <rPr>
            <b/>
            <sz val="9"/>
            <color rgb="FF000000"/>
            <rFont val="Calibri"/>
            <family val="2"/>
            <charset val="204"/>
          </rPr>
          <t>https://akhinterland.wordpress.com/treue_um_treue/</t>
        </r>
      </text>
    </comment>
    <comment ref="AV18" authorId="0" shapeId="0" xr:uid="{00000000-0006-0000-0100-000049000000}">
      <text>
        <r>
          <rPr>
            <b/>
            <sz val="9"/>
            <color rgb="FF000000"/>
            <rFont val="Calibri"/>
            <family val="2"/>
            <charset val="204"/>
          </rPr>
          <t>a couple blockade actions early in counter-mobilisation</t>
        </r>
      </text>
    </comment>
    <comment ref="AW18" authorId="0" shapeId="0" xr:uid="{00000000-0006-0000-0100-00004A000000}">
      <text>
        <r>
          <rPr>
            <b/>
            <sz val="9"/>
            <color rgb="FF000000"/>
            <rFont val="Calibri"/>
            <family val="2"/>
            <charset val="204"/>
          </rPr>
          <t>repeated counter-mobilisation, and resource-undermining tactics including graffiti of memorial</t>
        </r>
      </text>
    </comment>
    <comment ref="Z19" authorId="0" shapeId="0" xr:uid="{00000000-0006-0000-0100-00004B000000}">
      <text>
        <r>
          <rPr>
            <b/>
            <sz val="9"/>
            <color rgb="FF000000"/>
            <rFont val="Calibri"/>
            <family val="2"/>
            <charset val="204"/>
          </rPr>
          <t>CVIO at 10 out of 40 of the events</t>
        </r>
      </text>
    </comment>
    <comment ref="AB19" authorId="0" shapeId="0" xr:uid="{00000000-0006-0000-0100-00004C000000}">
      <text>
        <r>
          <rPr>
            <b/>
            <sz val="9"/>
            <color rgb="FF000000"/>
            <rFont val="Calibri"/>
            <family val="2"/>
            <charset val="204"/>
          </rPr>
          <t>local bans on a few occasions</t>
        </r>
      </text>
    </comment>
    <comment ref="AM19" authorId="0" shapeId="0" xr:uid="{00000000-0006-0000-0100-00004D000000}">
      <text>
        <r>
          <rPr>
            <b/>
            <sz val="9"/>
            <color indexed="81"/>
            <rFont val="Calibri"/>
            <family val="2"/>
            <charset val="204"/>
          </rPr>
          <t>local bans on a few occasions</t>
        </r>
      </text>
    </comment>
    <comment ref="AT19" authorId="0" shapeId="0" xr:uid="{00000000-0006-0000-0100-00004E000000}">
      <text>
        <r>
          <rPr>
            <b/>
            <sz val="9"/>
            <color indexed="81"/>
            <rFont val="Calibri"/>
            <family val="2"/>
            <charset val="204"/>
          </rPr>
          <t>repeated restrictions on placement/routes of EDL demos by local authorities</t>
        </r>
      </text>
    </comment>
    <comment ref="AU19" authorId="0" shapeId="0" xr:uid="{00000000-0006-0000-0100-00004F000000}">
      <text>
        <r>
          <rPr>
            <b/>
            <sz val="9"/>
            <color rgb="FF000000"/>
            <rFont val="Calibri"/>
            <family val="2"/>
            <charset val="204"/>
          </rPr>
          <t>sporadic bans based on logistical considerations of police, typically (no intervention from Home office)</t>
        </r>
      </text>
    </comment>
    <comment ref="AV19" authorId="0" shapeId="0" xr:uid="{00000000-0006-0000-0100-000050000000}">
      <text>
        <r>
          <rPr>
            <b/>
            <sz val="9"/>
            <color indexed="81"/>
            <rFont val="Calibri"/>
            <family val="2"/>
            <charset val="204"/>
          </rPr>
          <t>occassional incidents of clashes with EDL and/or police</t>
        </r>
      </text>
    </comment>
    <comment ref="AW19" authorId="0" shapeId="0" xr:uid="{00000000-0006-0000-0100-000051000000}">
      <text>
        <r>
          <rPr>
            <b/>
            <sz val="9"/>
            <color rgb="FF000000"/>
            <rFont val="Calibri"/>
            <family val="2"/>
            <charset val="204"/>
          </rPr>
          <t>repeated (mostly civil) counter-mobilisation</t>
        </r>
      </text>
    </comment>
    <comment ref="AQ20" authorId="0" shapeId="0" xr:uid="{00000000-0006-0000-0100-000052000000}">
      <text>
        <r>
          <rPr>
            <b/>
            <sz val="9"/>
            <color indexed="81"/>
            <rFont val="Calibri"/>
            <family val="2"/>
            <charset val="204"/>
          </rPr>
          <t>there was an evident failure in 2013, 2014 to organise the event, but internal factors may have been decisive</t>
        </r>
      </text>
    </comment>
    <comment ref="AR20" authorId="0" shapeId="0" xr:uid="{00000000-0006-0000-0100-000053000000}">
      <text>
        <r>
          <rPr>
            <b/>
            <sz val="9"/>
            <color indexed="81"/>
            <rFont val="Calibri"/>
            <family val="2"/>
            <charset val="204"/>
          </rPr>
          <t>2011 and 2012 were sizeable participation turn-downs, even if both were still upwards of 1000</t>
        </r>
      </text>
    </comment>
    <comment ref="AT20" authorId="0" shapeId="0" xr:uid="{00000000-0006-0000-0100-000054000000}">
      <text>
        <r>
          <rPr>
            <b/>
            <sz val="9"/>
            <color rgb="FF000000"/>
            <rFont val="Calibri"/>
            <family val="2"/>
            <charset val="204"/>
          </rPr>
          <t xml:space="preserve">some regional-level measures taken on account of NSU revelations, which were repeated and proximate, and may have affected NPD mobilising capacity
</t>
        </r>
        <r>
          <rPr>
            <b/>
            <sz val="9"/>
            <color rgb="FF000000"/>
            <rFont val="Calibri"/>
            <family val="2"/>
            <charset val="204"/>
          </rPr>
          <t xml:space="preserve">
</t>
        </r>
        <r>
          <rPr>
            <b/>
            <sz val="9"/>
            <color rgb="FF000000"/>
            <rFont val="Calibri"/>
            <family val="2"/>
            <charset val="204"/>
          </rPr>
          <t>Some specific channelling against Deutsche Stimme: https://blog.zeit.de/stoerungsmelder/2012/09/08/npd-versand-deutsche-stimme-vor-dem-aus_9759</t>
        </r>
      </text>
    </comment>
    <comment ref="AW20" authorId="0" shapeId="0" xr:uid="{00000000-0006-0000-0100-000055000000}">
      <text>
        <r>
          <rPr>
            <b/>
            <sz val="9"/>
            <color indexed="81"/>
            <rFont val="Calibri"/>
            <family val="2"/>
            <charset val="204"/>
          </rPr>
          <t>counter-demonstration at 2012 (last) event; a negligibly small (&lt;100) event in 2011, so not repeated</t>
        </r>
      </text>
    </comment>
    <comment ref="AX20" authorId="0" shapeId="0" xr:uid="{00000000-0006-0000-0100-000056000000}">
      <text>
        <r>
          <rPr>
            <b/>
            <sz val="9"/>
            <color indexed="81"/>
            <rFont val="Calibri"/>
            <family val="2"/>
            <charset val="204"/>
          </rPr>
          <t>some years without official Pressefest (2007-2009), but carried on with Ersatz-events (mostly rock concerts)</t>
        </r>
      </text>
    </comment>
    <comment ref="A21" authorId="0" shapeId="0" xr:uid="{00000000-0006-0000-0100-000057000000}">
      <text>
        <r>
          <rPr>
            <b/>
            <sz val="9"/>
            <color rgb="FF000000"/>
            <rFont val="Calibri"/>
            <family val="2"/>
            <charset val="204"/>
          </rPr>
          <t>https://www.telegraph.co.uk/news/politics/bnp/7802789/BNP-festival-cancelled.html</t>
        </r>
      </text>
    </comment>
    <comment ref="AV21" authorId="0" shapeId="0" xr:uid="{00000000-0006-0000-0100-000058000000}">
      <text>
        <r>
          <rPr>
            <b/>
            <sz val="9"/>
            <color indexed="81"/>
            <rFont val="Calibri"/>
            <family val="2"/>
            <charset val="204"/>
          </rPr>
          <t>blockades and violent clashes between police and AFR activists</t>
        </r>
      </text>
    </comment>
    <comment ref="AW21" authorId="0" shapeId="0" xr:uid="{00000000-0006-0000-0100-000059000000}">
      <text>
        <r>
          <rPr>
            <b/>
            <sz val="9"/>
            <color indexed="81"/>
            <rFont val="Calibri"/>
            <family val="2"/>
            <charset val="204"/>
          </rPr>
          <t>some non-confrontational counter-demonstrations alongside coercive counter-action</t>
        </r>
      </text>
    </comment>
    <comment ref="AX21" authorId="0" shapeId="0" xr:uid="{00000000-0006-0000-0100-00005A000000}">
      <text>
        <r>
          <rPr>
            <b/>
            <sz val="9"/>
            <color indexed="81"/>
            <rFont val="Calibri"/>
            <family val="2"/>
            <charset val="204"/>
          </rPr>
          <t>missing details on mid-2000s events, but they presumably took place</t>
        </r>
      </text>
    </comment>
    <comment ref="A22" authorId="0" shapeId="0" xr:uid="{00000000-0006-0000-0100-00005B000000}">
      <text>
        <r>
          <rPr>
            <b/>
            <sz val="9"/>
            <color rgb="FF000000"/>
            <rFont val="Calibri"/>
            <family val="2"/>
            <charset val="204"/>
          </rPr>
          <t>REP no longer classified as far right in 2006</t>
        </r>
      </text>
    </comment>
    <comment ref="AR22" authorId="0" shapeId="0" xr:uid="{00000000-0006-0000-0100-00005C000000}">
      <text>
        <r>
          <rPr>
            <b/>
            <sz val="9"/>
            <color rgb="FF000000"/>
            <rFont val="Calibri"/>
            <family val="2"/>
            <charset val="204"/>
          </rPr>
          <t>a sort of positive demobilisation occurred, whereby REP moved away from far-right views; BUT, before that happened, decreased participation at the REP's events was happening</t>
        </r>
      </text>
    </comment>
    <comment ref="AT22" authorId="0" shapeId="0" xr:uid="{00000000-0006-0000-0100-00005D000000}">
      <text>
        <r>
          <rPr>
            <b/>
            <sz val="9"/>
            <color indexed="81"/>
            <rFont val="Calibri"/>
            <family val="2"/>
            <charset val="204"/>
          </rPr>
          <t>Lee1997, pp. 233-234: CDU-CSU machinations against REP (a political competitor); not proximate, but repeated</t>
        </r>
      </text>
    </comment>
    <comment ref="AQ23" authorId="0" shapeId="0" xr:uid="{00000000-0006-0000-0100-00005E000000}">
      <text>
        <r>
          <rPr>
            <b/>
            <sz val="9"/>
            <color indexed="81"/>
            <rFont val="Calibri"/>
            <family val="2"/>
            <charset val="204"/>
          </rPr>
          <t xml:space="preserve">Demonstrations stopped despite (given trial and sentencing process, which persisted into 2014) continued possibility to mobilise; hence, negative demobilisation.
</t>
        </r>
        <r>
          <rPr>
            <b/>
            <u/>
            <sz val="9"/>
            <color indexed="81"/>
            <rFont val="Calibri"/>
            <family val="2"/>
          </rPr>
          <t>Maybe an interesting case to look into since it is a campaign that occurred within the wider development of organisational demobilisation (by internal fracturing and loss of members)</t>
        </r>
      </text>
    </comment>
    <comment ref="AT23" authorId="0" shapeId="0" xr:uid="{00000000-0006-0000-0100-00005F000000}">
      <text>
        <r>
          <rPr>
            <b/>
            <sz val="9"/>
            <color indexed="81"/>
            <rFont val="Calibri"/>
            <family val="2"/>
            <charset val="204"/>
          </rPr>
          <t>state channelling occurred, but neither repeated nor proximate: https://www.mirror.co.uk/news/uk-news/edl-leaders-tommy-robinson-kevin-2009503</t>
        </r>
      </text>
    </comment>
    <comment ref="AV23" authorId="0" shapeId="0" xr:uid="{00000000-0006-0000-0100-000060000000}">
      <text>
        <r>
          <rPr>
            <b/>
            <sz val="9"/>
            <color indexed="81"/>
            <rFont val="Calibri"/>
            <family val="2"/>
            <charset val="204"/>
          </rPr>
          <t>public disorder offences, clashes at last event in campaign</t>
        </r>
      </text>
    </comment>
    <comment ref="AW23" authorId="0" shapeId="0" xr:uid="{00000000-0006-0000-0100-000061000000}">
      <text>
        <r>
          <rPr>
            <b/>
            <sz val="9"/>
            <color indexed="81"/>
            <rFont val="Calibri"/>
            <family val="2"/>
            <charset val="204"/>
          </rPr>
          <t>repeated civil counter-mobilisation; also hacking against EDL: https://www.scotsman.com/news/uk-news/hacker-group-anonymous-post-edl-contact-details-1573438</t>
        </r>
      </text>
    </comment>
    <comment ref="AT25" authorId="0" shapeId="0" xr:uid="{6041DDD9-26E3-2A41-A913-2787014A6D7C}">
      <text>
        <r>
          <rPr>
            <b/>
            <sz val="10"/>
            <color rgb="FF000000"/>
            <rFont val="Tahoma"/>
            <family val="2"/>
          </rPr>
          <t>see CINST column in TddZ tab</t>
        </r>
      </text>
    </comment>
    <comment ref="AV25" authorId="0" shapeId="0" xr:uid="{00000000-0006-0000-0100-000062000000}">
      <text>
        <r>
          <rPr>
            <b/>
            <sz val="9"/>
            <color rgb="FF000000"/>
            <rFont val="Calibri"/>
            <family val="2"/>
            <charset val="204"/>
          </rPr>
          <t>blockades and violent clashes between police and AFR activists</t>
        </r>
      </text>
    </comment>
    <comment ref="AW25" authorId="0" shapeId="0" xr:uid="{00000000-0006-0000-0100-000063000000}">
      <text>
        <r>
          <rPr>
            <b/>
            <sz val="9"/>
            <color rgb="FF000000"/>
            <rFont val="Calibri"/>
            <family val="2"/>
            <charset val="204"/>
          </rPr>
          <t>repeated, but not proximate (civil counter-mob in 2012 and 2013, but scarcely any to speak of before or after in the period of interest</t>
        </r>
      </text>
    </comment>
    <comment ref="AT26" authorId="0" shapeId="0" xr:uid="{00000000-0006-0000-0100-000068000000}">
      <text>
        <r>
          <rPr>
            <b/>
            <sz val="9"/>
            <color rgb="FF000000"/>
            <rFont val="Calibri"/>
            <family val="2"/>
            <charset val="204"/>
          </rPr>
          <t>prevention of Bundeswehr participation and transport subsidy restriction</t>
        </r>
      </text>
    </comment>
    <comment ref="AW26" authorId="0" shapeId="0" xr:uid="{00000000-0006-0000-0100-000069000000}">
      <text>
        <r>
          <rPr>
            <b/>
            <sz val="9"/>
            <color rgb="FF000000"/>
            <rFont val="Calibri"/>
            <family val="2"/>
            <charset val="204"/>
          </rPr>
          <t>repeated small, non-confrontational counter-mobilisation</t>
        </r>
      </text>
    </comment>
    <comment ref="AU27" authorId="0" shapeId="0" xr:uid="{00000000-0006-0000-0100-00006A000000}">
      <text>
        <r>
          <rPr>
            <b/>
            <sz val="9"/>
            <color indexed="81"/>
            <rFont val="Calibri"/>
            <family val="2"/>
            <charset val="204"/>
          </rPr>
          <t>local ban, mass police deployment and prevention of FR assembly near cemetary</t>
        </r>
      </text>
    </comment>
    <comment ref="AV27" authorId="0" shapeId="0" xr:uid="{00000000-0006-0000-0100-00006B000000}">
      <text>
        <r>
          <rPr>
            <b/>
            <sz val="9"/>
            <color rgb="FF000000"/>
            <rFont val="Calibri"/>
            <family val="2"/>
            <charset val="204"/>
          </rPr>
          <t>event banned and FR activists (25) arrested in 1992</t>
        </r>
      </text>
    </comment>
    <comment ref="AL28" authorId="0" shapeId="0" xr:uid="{00000000-0006-0000-0100-00006C000000}">
      <text>
        <r>
          <rPr>
            <b/>
            <sz val="9"/>
            <color indexed="81"/>
            <rFont val="Calibri"/>
            <family val="2"/>
            <charset val="204"/>
          </rPr>
          <t>initial ban changed in 2003 case law, allowed mobilisation to gain momentum</t>
        </r>
      </text>
    </comment>
    <comment ref="AT28" authorId="0" shapeId="0" xr:uid="{00000000-0006-0000-0100-00006D000000}">
      <text>
        <r>
          <rPr>
            <b/>
            <sz val="9"/>
            <color indexed="81"/>
            <rFont val="Calibri"/>
            <family val="2"/>
            <charset val="204"/>
          </rPr>
          <t>change to law alters opportunity surround this FR demo; limitations in place in 2007</t>
        </r>
      </text>
    </comment>
    <comment ref="AU28" authorId="0" shapeId="0" xr:uid="{00000000-0006-0000-0100-00006E000000}">
      <text>
        <r>
          <rPr>
            <b/>
            <sz val="9"/>
            <color rgb="FF000000"/>
            <rFont val="Calibri"/>
            <family val="2"/>
            <charset val="204"/>
          </rPr>
          <t>ban enforcement in 2006</t>
        </r>
      </text>
    </comment>
    <comment ref="AV28" authorId="0" shapeId="0" xr:uid="{00000000-0006-0000-0100-00006F000000}">
      <text>
        <r>
          <rPr>
            <b/>
            <sz val="9"/>
            <color indexed="81"/>
            <rFont val="Calibri"/>
            <family val="2"/>
            <charset val="204"/>
          </rPr>
          <t>repeated blockades proximate to outcome</t>
        </r>
      </text>
    </comment>
    <comment ref="AW28" authorId="0" shapeId="0" xr:uid="{00000000-0006-0000-0100-000070000000}">
      <text>
        <r>
          <rPr>
            <b/>
            <sz val="9"/>
            <color rgb="FF000000"/>
            <rFont val="Calibri"/>
            <family val="2"/>
            <charset val="204"/>
          </rPr>
          <t>repeated civil counter-mobilisation</t>
        </r>
      </text>
    </comment>
    <comment ref="AR29" authorId="0" shapeId="0" xr:uid="{8D4DFD77-D1A7-8E49-B94C-40714587D51B}">
      <text>
        <r>
          <rPr>
            <b/>
            <sz val="10"/>
            <color rgb="FF000000"/>
            <rFont val="Tahoma"/>
            <family val="2"/>
          </rPr>
          <t>some decline, but not below 500 attendees</t>
        </r>
        <r>
          <rPr>
            <sz val="10"/>
            <color rgb="FF000000"/>
            <rFont val="Tahoma"/>
            <family val="2"/>
          </rPr>
          <t xml:space="preserve">
</t>
        </r>
      </text>
    </comment>
    <comment ref="AV29" authorId="0" shapeId="0" xr:uid="{00000000-0006-0000-0100-000071000000}">
      <text>
        <r>
          <rPr>
            <b/>
            <sz val="9"/>
            <color rgb="FF000000"/>
            <rFont val="Calibri"/>
            <family val="2"/>
            <charset val="204"/>
          </rPr>
          <t>repeated blockades, property damage, clash with police</t>
        </r>
      </text>
    </comment>
    <comment ref="AW29" authorId="0" shapeId="0" xr:uid="{00000000-0006-0000-0100-000072000000}">
      <text>
        <r>
          <rPr>
            <b/>
            <sz val="9"/>
            <color rgb="FF000000"/>
            <rFont val="Calibri"/>
            <family val="2"/>
            <charset val="204"/>
          </rPr>
          <t>civil counter-mobilisation alongside antifa/autonomist counter-mobilisation</t>
        </r>
      </text>
    </comment>
    <comment ref="J30" authorId="0" shapeId="0" xr:uid="{00000000-0006-0000-0100-000073000000}">
      <text>
        <r>
          <rPr>
            <b/>
            <sz val="9"/>
            <color rgb="FF000000"/>
            <rFont val="Calibri"/>
            <family val="2"/>
            <charset val="204"/>
          </rPr>
          <t>possible missing data problem: nothing on events 1991-1996, 1999-2003, 2005-2007</t>
        </r>
      </text>
    </comment>
    <comment ref="AQ30" authorId="0" shapeId="0" xr:uid="{00000000-0006-0000-0100-000074000000}">
      <text>
        <r>
          <rPr>
            <b/>
            <sz val="9"/>
            <color rgb="FF000000"/>
            <rFont val="Calibri"/>
            <family val="2"/>
            <charset val="204"/>
          </rPr>
          <t>Hofburg managing group persuaded not to lease to WKR after 2012. FPÖ started a new, replacement campaign. It's possible to argue this is campaign continuation, but that is debatable</t>
        </r>
      </text>
    </comment>
    <comment ref="AU30" authorId="0" shapeId="0" xr:uid="{00000000-0006-0000-0100-000075000000}">
      <text>
        <r>
          <rPr>
            <b/>
            <sz val="9"/>
            <color indexed="81"/>
            <rFont val="Calibri"/>
            <family val="2"/>
            <charset val="204"/>
          </rPr>
          <t>state coercion (bans, arrests) against some counter-demonstrations</t>
        </r>
      </text>
    </comment>
    <comment ref="AV30" authorId="0" shapeId="0" xr:uid="{00000000-0006-0000-0100-000076000000}">
      <text>
        <r>
          <rPr>
            <b/>
            <sz val="9"/>
            <color indexed="81"/>
            <rFont val="Calibri"/>
            <family val="2"/>
            <charset val="204"/>
          </rPr>
          <t>repeated blockades, property damage, clash with police</t>
        </r>
      </text>
    </comment>
    <comment ref="AW30" authorId="0" shapeId="0" xr:uid="{00000000-0006-0000-0100-000077000000}">
      <text>
        <r>
          <rPr>
            <b/>
            <sz val="9"/>
            <color indexed="81"/>
            <rFont val="Calibri"/>
            <family val="2"/>
            <charset val="204"/>
          </rPr>
          <t>committed (i.e., repeated) and proximate refusal of Hofburg authorities to host WKR's event; repeated and proximate civil counter-mobilisation</t>
        </r>
      </text>
    </comment>
    <comment ref="A31" authorId="0" shapeId="0" xr:uid="{00000000-0006-0000-0100-000078000000}">
      <text>
        <r>
          <rPr>
            <b/>
            <sz val="9"/>
            <color rgb="FF000000"/>
            <rFont val="Calibri"/>
            <family val="2"/>
            <charset val="204"/>
          </rPr>
          <t xml:space="preserve">No security service observation; local police hinder counter-mobilisation: https://jungle.world/artikel/2015/24/52108.html
</t>
        </r>
        <r>
          <rPr>
            <b/>
            <sz val="9"/>
            <color rgb="FF000000"/>
            <rFont val="Calibri"/>
            <family val="2"/>
            <charset val="204"/>
          </rPr>
          <t xml:space="preserve">
</t>
        </r>
        <r>
          <rPr>
            <b/>
            <sz val="9"/>
            <color rgb="FF000000"/>
            <rFont val="Calibri"/>
            <family val="2"/>
            <charset val="204"/>
          </rPr>
          <t xml:space="preserve">A somewhat negotiated mutual demobilisation in a meeting on 30 June 2015.
</t>
        </r>
        <r>
          <rPr>
            <b/>
            <sz val="9"/>
            <color rgb="FF000000"/>
            <rFont val="Calibri"/>
            <family val="2"/>
            <charset val="204"/>
          </rPr>
          <t xml:space="preserve">
</t>
        </r>
        <r>
          <rPr>
            <b/>
            <sz val="9"/>
            <color rgb="FF000000"/>
            <rFont val="Calibri"/>
            <family val="2"/>
            <charset val="204"/>
          </rPr>
          <t>In June 2016, the refugee accommodation in Leonardo hotel was stopped and the refugees relocated: https://www.saechsische.de/asylunterkunft-im-leonardo-schliesst-3398773.html</t>
        </r>
      </text>
    </comment>
    <comment ref="AG31" authorId="0" shapeId="0" xr:uid="{00000000-0006-0000-0100-000079000000}">
      <text>
        <r>
          <rPr>
            <b/>
            <sz val="9"/>
            <color rgb="FF000000"/>
            <rFont val="Calibri"/>
            <family val="2"/>
            <charset val="204"/>
          </rPr>
          <t xml:space="preserve">In June 2016, the refugee accommodation in Leonardo hotel was stopped and the refugees relocated: https://www.saechsische.de/asylunterkunft-im-leonardo-schliesst-3398773.html
</t>
        </r>
        <r>
          <rPr>
            <b/>
            <sz val="9"/>
            <color rgb="FF000000"/>
            <rFont val="Calibri"/>
            <family val="2"/>
            <charset val="204"/>
          </rPr>
          <t xml:space="preserve">
</t>
        </r>
        <r>
          <rPr>
            <b/>
            <sz val="9"/>
            <color rgb="FF000000"/>
            <rFont val="Calibri"/>
            <family val="2"/>
            <charset val="204"/>
          </rPr>
          <t xml:space="preserve"> But that was only after a somewhat negotiated end to demonstrations on 30 June 2015. More importantly, the decision to stop housing refugees in the Leonardo hotel was because there were sufficient housing elsewhere in the district AND because the operatore, Pro Shelter, was not implementing fire protection measures. </t>
        </r>
      </text>
    </comment>
    <comment ref="AT31" authorId="0" shapeId="0" xr:uid="{00000000-0006-0000-0100-00007A000000}">
      <text>
        <r>
          <rPr>
            <b/>
            <sz val="9"/>
            <color rgb="FF000000"/>
            <rFont val="Calibri"/>
            <family val="2"/>
            <charset val="204"/>
          </rPr>
          <t xml:space="preserve">several attempts by state to de-escalate the issue: e.g., attempted to hold town hall in March 2015 (early in campaign), but threats to the event and CDU MP Klaus Brähmig forced the event to cancel. Then, a meeting on 30 June 2015, brokered by the mayor </t>
        </r>
        <r>
          <rPr>
            <sz val="10"/>
            <color rgb="FF000000"/>
            <rFont val="Calibri"/>
            <family val="2"/>
            <scheme val="minor"/>
          </rPr>
          <t>Mirko Kretschmar-Schöppan,</t>
        </r>
        <r>
          <rPr>
            <sz val="10"/>
            <color rgb="FF000000"/>
            <rFont val="Calibri"/>
            <family val="2"/>
            <scheme val="minor"/>
          </rPr>
          <t xml:space="preserve"> sort of was a negotiated end to the demos.</t>
        </r>
      </text>
    </comment>
    <comment ref="AW31" authorId="0" shapeId="0" xr:uid="{00000000-0006-0000-0100-00007B000000}">
      <text>
        <r>
          <rPr>
            <b/>
            <sz val="9"/>
            <color rgb="FF000000"/>
            <rFont val="Calibri"/>
            <family val="2"/>
            <charset val="204"/>
          </rPr>
          <t>small, but repeated and proximate simultaneous counter-demonstrations</t>
        </r>
      </text>
    </comment>
    <comment ref="AQ32" authorId="0" shapeId="0" xr:uid="{00000000-0006-0000-0100-00007C000000}">
      <text>
        <r>
          <rPr>
            <b/>
            <sz val="9"/>
            <color rgb="FF000000"/>
            <rFont val="Calibri"/>
            <family val="2"/>
            <charset val="204"/>
          </rPr>
          <t>events continue past August 2015, but significant demob occurs then</t>
        </r>
      </text>
    </comment>
    <comment ref="AT32" authorId="0" shapeId="0" xr:uid="{00000000-0006-0000-0100-00007D000000}">
      <text>
        <r>
          <rPr>
            <b/>
            <sz val="9"/>
            <color rgb="FF000000"/>
            <rFont val="Calibri"/>
            <family val="2"/>
            <charset val="204"/>
          </rPr>
          <t>national political attention turns to the issue, to defuse the situation: https://www.goettinger-tageblatt.de/Nachrichten/Politik/Deutschland-Welt/Angriff-auf-Fluechtlingsunterkunft-Der-Hass-von-Heidenau</t>
        </r>
      </text>
    </comment>
    <comment ref="AU32" authorId="0" shapeId="0" xr:uid="{00000000-0006-0000-0100-00007E000000}">
      <text>
        <r>
          <rPr>
            <b/>
            <sz val="9"/>
            <color rgb="FF000000"/>
            <rFont val="Calibri"/>
            <family val="2"/>
            <charset val="204"/>
          </rPr>
          <t>police focus on preventing FR and AFR clashes and getting FR riots under control; demo bans: https://www.welt.de/politik/deutschland/article145857652/Die-Guten-die-Boesen-und-die-Aengstlichen.html</t>
        </r>
      </text>
    </comment>
    <comment ref="AV32" authorId="0" shapeId="0" xr:uid="{00000000-0006-0000-0100-00007F000000}">
      <text>
        <r>
          <rPr>
            <b/>
            <sz val="9"/>
            <color rgb="FF000000"/>
            <rFont val="Calibri"/>
            <family val="2"/>
            <charset val="204"/>
          </rPr>
          <t>violent leftist counter-action against FR on 22 and 23 August</t>
        </r>
      </text>
    </comment>
    <comment ref="AW32" authorId="0" shapeId="0" xr:uid="{00000000-0006-0000-0100-000080000000}">
      <text>
        <r>
          <rPr>
            <b/>
            <sz val="9"/>
            <color rgb="FF000000"/>
            <rFont val="Calibri"/>
            <family val="2"/>
            <charset val="204"/>
          </rPr>
          <t>peaceful counter-/protective-demo in front of Asylheim on 22.8.2015</t>
        </r>
      </text>
    </comment>
    <comment ref="A33" authorId="0" shapeId="0" xr:uid="{00000000-0006-0000-0100-000081000000}">
      <text>
        <r>
          <rPr>
            <b/>
            <sz val="9"/>
            <color rgb="FF000000"/>
            <rFont val="Calibri"/>
            <family val="2"/>
            <charset val="204"/>
          </rPr>
          <t xml:space="preserve">Overview: https://www.fussball-gegen-nazis.de/artikel/pegida-quo-vadis-das-beispiel-chemnitz-einsiedel-11053
</t>
        </r>
        <r>
          <rPr>
            <b/>
            <sz val="9"/>
            <color rgb="FF000000"/>
            <rFont val="Calibri"/>
            <family val="2"/>
            <charset val="204"/>
          </rPr>
          <t xml:space="preserve">
</t>
        </r>
        <r>
          <rPr>
            <b/>
            <sz val="9"/>
            <color rgb="FF000000"/>
            <rFont val="Calibri"/>
            <family val="2"/>
            <charset val="204"/>
          </rPr>
          <t>https://www.heimatwerk-einsiedel.de/dittersdorfer-weg/asyl-erstaufnahmelager-chemnitz-einsiedel/</t>
        </r>
      </text>
    </comment>
    <comment ref="AQ33" authorId="0" shapeId="0" xr:uid="{00000000-0006-0000-0100-000082000000}">
      <text>
        <r>
          <rPr>
            <b/>
            <sz val="9"/>
            <color rgb="FF000000"/>
            <rFont val="Calibri"/>
            <family val="2"/>
            <charset val="204"/>
          </rPr>
          <t>positive outcome for FR: only 200 asyl-residents, rather than 1000</t>
        </r>
      </text>
    </comment>
    <comment ref="AW33" authorId="0" shapeId="0" xr:uid="{00000000-0006-0000-0100-000083000000}">
      <text>
        <r>
          <rPr>
            <b/>
            <sz val="9"/>
            <color indexed="81"/>
            <rFont val="Calibri"/>
            <family val="2"/>
            <charset val="204"/>
          </rPr>
          <t>opposition tried (unsuccessfully) to get FR blockade of Asylheim dispersed by appealing for fire code violations (http://wachsam-in-chemnitz.de/rechte-strukturen-in-chemnitz/asylfeindliche-gruppen/einsiedel-sagt-nein-zum-heim/)</t>
        </r>
      </text>
    </comment>
    <comment ref="A34" authorId="0" shapeId="0" xr:uid="{3EA99A3F-A3C0-EC47-9367-9BFDF3A1F008}">
      <text>
        <r>
          <rPr>
            <b/>
            <sz val="10"/>
            <color rgb="FF000000"/>
            <rFont val="Tahoma"/>
            <family val="2"/>
          </rPr>
          <t xml:space="preserve">Tommy Robinson in prison:
</t>
        </r>
        <r>
          <rPr>
            <b/>
            <sz val="10"/>
            <color rgb="FF000000"/>
            <rFont val="Tahoma"/>
            <family val="2"/>
          </rPr>
          <t xml:space="preserve">-2005: assault
</t>
        </r>
        <r>
          <rPr>
            <b/>
            <sz val="10"/>
            <color rgb="FF000000"/>
            <rFont val="Tahoma"/>
            <family val="2"/>
          </rPr>
          <t xml:space="preserve">-2012: false travel documents to enter U.S.
</t>
        </r>
        <r>
          <rPr>
            <b/>
            <sz val="10"/>
            <color rgb="FF000000"/>
            <rFont val="Tahoma"/>
            <family val="2"/>
          </rPr>
          <t xml:space="preserve">-2014: mortgage fraud
</t>
        </r>
        <r>
          <rPr>
            <b/>
            <sz val="10"/>
            <color rgb="FF000000"/>
            <rFont val="Tahoma"/>
            <family val="2"/>
          </rPr>
          <t xml:space="preserve">--2018 (late April): Twitter ban
</t>
        </r>
        <r>
          <rPr>
            <b/>
            <sz val="10"/>
            <color rgb="FF000000"/>
            <rFont val="Tahoma"/>
            <family val="2"/>
          </rPr>
          <t xml:space="preserve">-2018 (from May until 1 August): contempt of court
</t>
        </r>
        <r>
          <rPr>
            <b/>
            <sz val="10"/>
            <color rgb="FF000000"/>
            <rFont val="Tahoma"/>
            <family val="2"/>
          </rPr>
          <t>-2019 (from 11 July until 13 Sept): contempt of court retrial</t>
        </r>
        <r>
          <rPr>
            <sz val="10"/>
            <color rgb="FF000000"/>
            <rFont val="Tahoma"/>
            <family val="2"/>
          </rPr>
          <t xml:space="preserve">
</t>
        </r>
      </text>
    </comment>
    <comment ref="AG34" authorId="0" shapeId="0" xr:uid="{7A36F40E-583F-8845-8EFB-43F16667A0B7}">
      <text>
        <r>
          <rPr>
            <b/>
            <sz val="10"/>
            <color rgb="FF000000"/>
            <rFont val="Tahoma"/>
            <family val="2"/>
          </rPr>
          <t>Robinson initially released on appeal due to procedural issues, but jailed on retrial</t>
        </r>
        <r>
          <rPr>
            <sz val="10"/>
            <color rgb="FF000000"/>
            <rFont val="Tahoma"/>
            <family val="2"/>
          </rPr>
          <t xml:space="preserve">
</t>
        </r>
      </text>
    </comment>
    <comment ref="AQ34" authorId="0" shapeId="0" xr:uid="{36E330CA-031C-0A4F-BC25-D7A8FC710B3C}">
      <text>
        <r>
          <rPr>
            <b/>
            <sz val="10"/>
            <color rgb="FF000000"/>
            <rFont val="Tahoma"/>
            <family val="2"/>
          </rPr>
          <t>a bit of problem depletion: Robinson released, mobilisation stalls, and no re-mob when Robinson re-arrested</t>
        </r>
        <r>
          <rPr>
            <sz val="10"/>
            <color rgb="FF000000"/>
            <rFont val="Tahoma"/>
            <family val="2"/>
          </rPr>
          <t xml:space="preserve">
</t>
        </r>
      </text>
    </comment>
    <comment ref="AT34" authorId="0" shapeId="0" xr:uid="{BADCE9BB-2430-A443-9A88-CE7DB13B4960}">
      <text>
        <r>
          <rPr>
            <b/>
            <sz val="10"/>
            <color rgb="FF000000"/>
            <rFont val="Tahoma"/>
            <family val="2"/>
          </rPr>
          <t>denying entry of Sellner and Bachner</t>
        </r>
        <r>
          <rPr>
            <sz val="10"/>
            <color rgb="FF000000"/>
            <rFont val="Tahoma"/>
            <family val="2"/>
          </rPr>
          <t xml:space="preserve">
</t>
        </r>
      </text>
    </comment>
    <comment ref="AW34" authorId="0" shapeId="0" xr:uid="{27BDA0F7-C887-7347-BC61-E2D105CD4163}">
      <text>
        <r>
          <rPr>
            <b/>
            <sz val="9"/>
            <color rgb="FF000000"/>
            <rFont val="Calibri"/>
            <family val="2"/>
            <charset val="204"/>
          </rPr>
          <t>repeated civic counter-demonstrations</t>
        </r>
      </text>
    </comment>
    <comment ref="AV35" authorId="0" shapeId="0" xr:uid="{100B05E0-D4CE-3247-ACA3-2AB08938F3A5}">
      <text>
        <r>
          <rPr>
            <b/>
            <sz val="9"/>
            <color rgb="FF000000"/>
            <rFont val="Calibri"/>
            <family val="2"/>
            <charset val="204"/>
          </rPr>
          <t>antifascists blockade road at last march, in London</t>
        </r>
      </text>
    </comment>
    <comment ref="AW35" authorId="0" shapeId="0" xr:uid="{79952365-F70E-2C4E-B7F6-8A8B33EDC14B}">
      <text>
        <r>
          <rPr>
            <b/>
            <sz val="9"/>
            <color rgb="FF000000"/>
            <rFont val="Calibri"/>
            <family val="2"/>
            <charset val="204"/>
          </rPr>
          <t>repeated civic counter-demonstrations</t>
        </r>
      </text>
    </comment>
    <comment ref="AW36" authorId="0" shapeId="0" xr:uid="{4A607765-F3AD-A348-9C52-2E5E471EF8B6}">
      <text>
        <r>
          <rPr>
            <b/>
            <sz val="9"/>
            <color rgb="FF000000"/>
            <rFont val="Calibri"/>
            <family val="2"/>
            <charset val="204"/>
          </rPr>
          <t>repeated civic counter-demonstrations</t>
        </r>
      </text>
    </comment>
    <comment ref="A37" authorId="0" shapeId="0" xr:uid="{6677A41A-15DA-0445-8F41-603E77915C92}">
      <text>
        <r>
          <rPr>
            <b/>
            <sz val="10"/>
            <color rgb="FF000000"/>
            <rFont val="Tahoma"/>
            <family val="2"/>
          </rPr>
          <t xml:space="preserve">Notes on campaign:
</t>
        </r>
        <r>
          <rPr>
            <b/>
            <sz val="10"/>
            <color rgb="FF000000"/>
            <rFont val="Tahoma"/>
            <family val="2"/>
          </rPr>
          <t xml:space="preserve">--the PC facebook page during the campaign is representative of many far-right narratives: great replacement, gender ideology
</t>
        </r>
        <r>
          <rPr>
            <b/>
            <sz val="10"/>
            <color rgb="FF000000"/>
            <rFont val="Tahoma"/>
            <family val="2"/>
          </rPr>
          <t xml:space="preserve">--https://www.merkur.de/politik/regierungschef-in-chemnitz-rechtspopulisten-demonstrieren-zr-10183353.html
</t>
        </r>
        <r>
          <rPr>
            <b/>
            <sz val="10"/>
            <color rgb="FF000000"/>
            <rFont val="Tahoma"/>
            <family val="2"/>
          </rPr>
          <t xml:space="preserve">
</t>
        </r>
        <r>
          <rPr>
            <sz val="10"/>
            <color rgb="FF000000"/>
            <rFont val="Calibri"/>
            <family val="2"/>
          </rPr>
          <t xml:space="preserve">COUNTER-MOBILISATION AT END OF 2018: https://www.facebook.com/prochemnitz/posts/pfbid0hSiNx4gxsc3Tyn2wqgRAdc6FZ1RCEM53XgygkC3WrKkkUhAhaxs62ZDXmEUNhF3hl?__cft__[0]=AZUzWhdHDIjnrf-PXianRlYnhMlDuRtMO0IKTMP1gIGsyk3-vfzMYdjHWdeFzBc9HVxOMOTWyQwhBscELaK6dvQ4IAkcHdaCXhlEmHMvDuglaviT9XyKz0u4mBd9-0_xKOlZM7gKFRB_FH-YshUSEDLn-BBLvod_S5UBvwv1b47JSzoQPlIAtNl4i6qgnyXoag4-yKfu6J3QCpUc5y0uiy-b&amp;__tn__=%2CO%2CP-R ; https://www.facebook.com/prochemnitz/posts/pfbid026WKVYLgbYcGTyHyV2yk54CZrfZHzWQDtCLtnYzfuPkSWtbQGE2kGwxdkY5haiWZzl?__cft__[0]=AZXoDKF75sZy9Pt-ISSp0tYBHPIgEd9dgEmV575EEVPQ5tTgjj3hKnpGnIxniGtRzLAxbJ3tQ0rDte1ATET_tHQ_I7KzgCFbwuV0pZ8plsvArbz9n25Kj1oc-XyjdbGluTNUyOx2qDyYnTalfhaA5V3EvvMCliltPiwoif9zGbl8GtupzN5v-GEAnVsafysfLKCH0KVem2jxjhSziyLmYjMd&amp;__tn__=%2CO%2CP-R 
</t>
        </r>
        <r>
          <rPr>
            <sz val="10"/>
            <color rgb="FF000000"/>
            <rFont val="Tahoma"/>
            <family val="2"/>
          </rPr>
          <t xml:space="preserve">
</t>
        </r>
        <r>
          <rPr>
            <sz val="10"/>
            <color rgb="FF000000"/>
            <rFont val="Calibri"/>
            <family val="2"/>
          </rPr>
          <t xml:space="preserve">VfS OBSERVATION STARTING IN 2019: https://www.facebook.com/prochemnitz/posts/pfbid02tCCBusa9WAsFEkzzNsZG6ixniNVtDQEFdP1WVJugKp7hjt5fGzADLWgMQ8SZHpXQl?__cft__[0]=AZVut3QkPUPyOlwYUyHx0EAB_OTOk0wfoMRfEm5y-YvAm8VvEFxRq4kzoI_bEaZ81xRzrWxsqf9BFdoqq2MQKRWCVlt3dorPOV_J4rGh8kllQicwqXj-5yFIpedPDl6Yqc9U1lDKZWo_-mJ5xQwEmxlG9JGZBTAa8MyO5-OcyfKZTRicOmp-88mcWzNUiH-Dd_9W99mBWIOS_cVs0wS6xKO0&amp;__tn__=%2CO%2CP-R 
</t>
        </r>
        <r>
          <rPr>
            <sz val="10"/>
            <color rgb="FF000000"/>
            <rFont val="Calibri"/>
            <family val="2"/>
          </rPr>
          <t xml:space="preserve">
</t>
        </r>
        <r>
          <rPr>
            <sz val="10"/>
            <color rgb="FF000000"/>
            <rFont val="Calibri"/>
            <family val="2"/>
          </rPr>
          <t xml:space="preserve">Maassen's comments on 5 November, reported in COMPACT (https://www.facebook.com/prochemnitz/posts/pfbid02QwGWS42eRjpfB8aZcXp1yaFdqobduJhmb58Gkr4BJku3VNDnyjH3YfYKat9GCgBYl?__cft__[0]=AZUq9WRWt-bYIlQp8seeCvHss7ylnpGbtdtr66IcJqw_7ERx3n-v5CjYZzJ_xhmrcpMTaPdyMGRtYdGzB8IOHOwVdFhZpxU55PJqLzvgTXKq1HsfW7A68f5o1SIb-c-odqRK-S_3f6JXPR7m3YhWqNOBfsM9oXeR0OVQ-DOdoSXxdm8H5aFLoBivpKVcAt2S9oUFOo18y7mJU7ejSEr_17nG&amp;__tn__=%2CO%2CP-R)
</t>
        </r>
        <r>
          <rPr>
            <sz val="10"/>
            <color rgb="FF000000"/>
            <rFont val="Tahoma"/>
            <family val="2"/>
          </rPr>
          <t xml:space="preserve">
</t>
        </r>
        <r>
          <rPr>
            <b/>
            <sz val="10"/>
            <color rgb="FF000000"/>
            <rFont val="Calibri"/>
            <family val="2"/>
          </rPr>
          <t>NO COOPERATION WITH AfD, distancing after early flirtation</t>
        </r>
        <r>
          <rPr>
            <sz val="10"/>
            <color rgb="FF000000"/>
            <rFont val="Calibri"/>
            <family val="2"/>
          </rPr>
          <t xml:space="preserve">: 
</t>
        </r>
        <r>
          <rPr>
            <sz val="10"/>
            <color rgb="FF000000"/>
            <rFont val="Calibri"/>
            <family val="2"/>
          </rPr>
          <t xml:space="preserve">--https://www.facebook.com/prochemnitz/posts/pfbid02sghyzPS6gmNsLqBAhqJV6ozY6yr34X58s9N2QqfJLojMXNRfKnV1zrWRxU3XmSz6l?__cft__[0]=AZUTdGRW6kmLBn_XxWPSNBn-PKohJIZ9I_9ki1k-67yo7ppct811PFm-Cr2lEiESw_NXXBLNlGYHu4lPCXtli7XbK1S-Wg-6iSKtzgr86Q8CD1VKhlQw97R1X5p1dDXrS_m93j2gtwtER3GdkwpWwnpF38YhIL9S-FsQY7nKqb7iVV1hAUreTe5X292BdBJf2i_WCyh3ZdEpGzpSnBTPLMfsEO_eTmvPFrxPwLFPUg33Zw&amp;__tn__=%2CO%2CP-R 
</t>
        </r>
        <r>
          <rPr>
            <sz val="10"/>
            <color rgb="FF000000"/>
            <rFont val="Calibri"/>
            <family val="2"/>
          </rPr>
          <t>--</t>
        </r>
        <r>
          <rPr>
            <b/>
            <sz val="10"/>
            <color rgb="FF000000"/>
            <rFont val="Calibri"/>
            <family val="2"/>
          </rPr>
          <t xml:space="preserve">AfD puts Pro Chemnitz on its unvereinbarkeit list: </t>
        </r>
        <r>
          <rPr>
            <sz val="10"/>
            <color rgb="FF000000"/>
            <rFont val="Calibri"/>
            <family val="2"/>
          </rPr>
          <t xml:space="preserve">https://www.facebook.com/prochemnitz/posts/pfbid02Bf7ptqdyZdG5U28rH81S1En6ySFBgDeEfG5ZDVayUf7bc3Uu5mybP6CTJVqqaDjtl?__cft__[0]=AZXoQgtHZ1iFj1QSrU3Xs61SyQWWnyKkXHEN4MG3yTVC2Jz0yTfU1Fxc_XKRUQ0F48eJvg2w51LvsQjKL3Vg1qsI1qhHj8xcWhAmYFE1A6EAapcNo7fXEPtJ7aekW7vm2h2oWGvEFTejrFXp6kRuugHkPSD4iBHKTdYfaHCaQxQyVp2gtkGQ67TUi7Z6SVqZotgA4uJAdc06s979DGr03tyGe2_C8b6CpaD66-0JgAiRSg&amp;__tn__=%2CO%2CP-R
</t>
        </r>
        <r>
          <rPr>
            <sz val="10"/>
            <color rgb="FF000000"/>
            <rFont val="Calibri"/>
            <family val="2"/>
          </rPr>
          <t xml:space="preserve">--https://www.facebook.com/prochemnitz/posts/pfbid02Ed8CFGz7b4tZGFXXXWAcGRHDiMjEyu9PxyQakNKnGNzQ7T9jCFpUEMw1mQbAfDrql?__cft__[0]=AZUe8HzVmw6f0HWG6iq1NxGYGW5ZZyqV-_0obT0lx0iPrI10XI3mKLdMKNYrKgVJzux2Zc_krQclJgQcTVYORyZywexCpLby9YUirxFW44a6MHnnCQoWXa7vzPyU2TIH3bxlvOhSvWSsIvZI6XeyV0qrNkJ_5VYctJracyB0U2ikDWaMPb5aD1KbzHqztCbOIFUKCGK6SrvaGmTptfzs-Ii-&amp;__tn__=%2CO%2CP-R </t>
        </r>
        <r>
          <rPr>
            <sz val="10"/>
            <color rgb="FF000000"/>
            <rFont val="Tahoma"/>
            <family val="2"/>
          </rPr>
          <t xml:space="preserve">
</t>
        </r>
      </text>
    </comment>
    <comment ref="AQ39" authorId="0" shapeId="0" xr:uid="{EA8D46F8-58B4-1B4F-BE9D-9C820662D9CA}">
      <text>
        <r>
          <rPr>
            <b/>
            <sz val="10"/>
            <color rgb="FF000000"/>
            <rFont val="Tahoma"/>
            <family val="2"/>
          </rPr>
          <t>Problem depletion? -- 2017 election ends, Merkel is not going away, GroKo in the offing, so there was a March 2018 demo against the GroKo, but not continued</t>
        </r>
        <r>
          <rPr>
            <sz val="10"/>
            <color rgb="FF000000"/>
            <rFont val="Tahoma"/>
            <family val="2"/>
          </rPr>
          <t xml:space="preserve">
</t>
        </r>
      </text>
    </comment>
    <comment ref="AV39" authorId="0" shapeId="0" xr:uid="{F70B1E51-4519-9342-A94A-EF7659416D8F}">
      <text>
        <r>
          <rPr>
            <b/>
            <sz val="10"/>
            <color rgb="FF000000"/>
            <rFont val="Tahoma"/>
            <family val="2"/>
          </rPr>
          <t>one occasion, which was proximate, but not repeated (because police stopped the blockading attempts)</t>
        </r>
        <r>
          <rPr>
            <sz val="10"/>
            <color rgb="FF000000"/>
            <rFont val="Tahoma"/>
            <family val="2"/>
          </rPr>
          <t xml:space="preserve">
</t>
        </r>
      </text>
    </comment>
    <comment ref="A41" authorId="0" shapeId="0" xr:uid="{5A8C4DAA-3434-9D47-88E0-4D5D32B74D8E}">
      <text>
        <r>
          <rPr>
            <b/>
            <sz val="10"/>
            <color rgb="FF000000"/>
            <rFont val="Tahoma"/>
            <family val="2"/>
          </rPr>
          <t>Bundestag voted in favour of compact on 29 November, endorsed by UN vote on 10 December</t>
        </r>
        <r>
          <rPr>
            <sz val="10"/>
            <color rgb="FF000000"/>
            <rFont val="Tahoma"/>
            <family val="2"/>
          </rPr>
          <t xml:space="preserve">
</t>
        </r>
      </text>
    </comment>
    <comment ref="AB42" authorId="0" shapeId="0" xr:uid="{7DC8D32A-C35D-1647-B880-35191E0E3A2C}">
      <text>
        <r>
          <rPr>
            <sz val="10"/>
            <color rgb="FF000000"/>
            <rFont val="Tahoma"/>
            <family val="2"/>
          </rPr>
          <t>prohibition on selling alcohol, singing songs that have not be pre-approved, carrying imperial war flags</t>
        </r>
      </text>
    </comment>
    <comment ref="AV44" authorId="0" shapeId="0" xr:uid="{EAA7FE04-76EC-7947-8D1D-230E62304D45}">
      <text>
        <r>
          <rPr>
            <b/>
            <sz val="9"/>
            <color indexed="81"/>
            <rFont val="Calibri"/>
            <family val="2"/>
            <charset val="204"/>
          </rPr>
          <t>blockades and violent clashes between police and AFR activists</t>
        </r>
      </text>
    </comment>
    <comment ref="AW44" authorId="0" shapeId="0" xr:uid="{A08DDB3C-5F0A-0646-A282-FD5C278C4658}">
      <text>
        <r>
          <rPr>
            <b/>
            <sz val="9"/>
            <color rgb="FF000000"/>
            <rFont val="Calibri"/>
            <family val="2"/>
            <charset val="204"/>
          </rPr>
          <t>repeated civil counter-mobilisation</t>
        </r>
      </text>
    </comment>
    <comment ref="AB45" authorId="0" shapeId="0" xr:uid="{F5C67A53-7F29-AF44-80EC-E256B31568B6}">
      <text>
        <r>
          <rPr>
            <b/>
            <sz val="10"/>
            <color rgb="FF000000"/>
            <rFont val="Tahoma"/>
            <family val="2"/>
          </rPr>
          <t>some limitations imposed on demo</t>
        </r>
        <r>
          <rPr>
            <sz val="10"/>
            <color rgb="FF000000"/>
            <rFont val="Tahoma"/>
            <family val="2"/>
          </rPr>
          <t xml:space="preserve">
</t>
        </r>
      </text>
    </comment>
    <comment ref="AB46" authorId="0" shapeId="0" xr:uid="{02366B9A-B528-0048-9138-1A9EC83A8703}">
      <text>
        <r>
          <rPr>
            <b/>
            <sz val="10"/>
            <color rgb="FF000000"/>
            <rFont val="Tahoma"/>
            <family val="2"/>
          </rPr>
          <t>some limitations imposed on demo</t>
        </r>
        <r>
          <rPr>
            <sz val="10"/>
            <color rgb="FF000000"/>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Michael Zeller</author>
  </authors>
  <commentList>
    <comment ref="B2" authorId="0" shapeId="0" xr:uid="{DF55B990-2733-0A4C-AE0B-BED70EBE92F7}">
      <text>
        <r>
          <rPr>
            <b/>
            <sz val="9"/>
            <color indexed="81"/>
            <rFont val="Calibri"/>
            <family val="2"/>
            <charset val="204"/>
          </rPr>
          <t>UK Crime figures (minus numbers from Wales), page 49:
https://webarchive.nationalarchives.gov.uk/20110218141310/http://rds.homeoffice.gov.uk/rds/pdfs/s95race99.pdf</t>
        </r>
      </text>
    </comment>
    <comment ref="B3" authorId="0" shapeId="0" xr:uid="{BD338F5B-FB6A-7F49-AB57-DCF1FA749018}">
      <text>
        <r>
          <rPr>
            <b/>
            <sz val="9"/>
            <color indexed="81"/>
            <rFont val="Calibri"/>
            <family val="2"/>
            <charset val="204"/>
          </rPr>
          <t>UK Crime figures (minus numbers from Wales), page 49:
https://webarchive.nationalarchives.gov.uk/20110218141310/http://rds.homeoffice.gov.uk/rds/pdfs/s95race99.pdf</t>
        </r>
      </text>
    </comment>
    <comment ref="B4" authorId="0" shapeId="0" xr:uid="{671B7735-305E-174C-9927-3DEFDC2B602B}">
      <text>
        <r>
          <rPr>
            <b/>
            <sz val="9"/>
            <color indexed="81"/>
            <rFont val="Calibri"/>
            <family val="2"/>
            <charset val="204"/>
          </rPr>
          <t>UK Crime figures (minus numbers from Wales), page 49:
https://webarchive.nationalarchives.gov.uk/20110218141310/http://rds.homeoffice.gov.uk/rds/pdfs/s95race99.pdf</t>
        </r>
      </text>
    </comment>
    <comment ref="B5" authorId="0" shapeId="0" xr:uid="{96515147-005C-FD4F-8E46-47D8ACE49EA9}">
      <text>
        <r>
          <rPr>
            <b/>
            <sz val="9"/>
            <color indexed="81"/>
            <rFont val="Calibri"/>
            <family val="2"/>
            <charset val="204"/>
          </rPr>
          <t>UK Crime figures (minus numbers from Wales), page 49:
https://webarchive.nationalarchives.gov.uk/20110218141310/http://rds.homeoffice.gov.uk/rds/pdfs/s95race99.pdf</t>
        </r>
      </text>
    </comment>
    <comment ref="B6" authorId="0" shapeId="0" xr:uid="{D0571B55-7CB7-9D4E-9D77-16BD121F4834}">
      <text>
        <r>
          <rPr>
            <b/>
            <sz val="9"/>
            <color indexed="81"/>
            <rFont val="Calibri"/>
            <family val="2"/>
            <charset val="204"/>
          </rPr>
          <t>UK Crime figures (minus numbers from Wales), page 49:
https://webarchive.nationalarchives.gov.uk/20110218141310/http://rds.homeoffice.gov.uk/rds/pdfs/s95race99.pdf</t>
        </r>
      </text>
    </comment>
    <comment ref="B7" authorId="0" shapeId="0" xr:uid="{5854AE30-5D86-6543-B39E-BEA4E42BD518}">
      <text>
        <r>
          <rPr>
            <b/>
            <sz val="9"/>
            <color indexed="81"/>
            <rFont val="Calibri"/>
            <family val="2"/>
            <charset val="204"/>
          </rPr>
          <t>UK Crime figures (minus numbers from Wales), page 49:
https://webarchive.nationalarchives.gov.uk/20110218141310/http://rds.homeoffice.gov.uk/rds/pdfs/s95race99.pdf</t>
        </r>
      </text>
    </comment>
    <comment ref="F7" authorId="0" shapeId="0" xr:uid="{9DD49CB9-EC39-3D43-BBA5-DD767C0DB844}">
      <text>
        <r>
          <rPr>
            <sz val="12"/>
            <color rgb="FF3F3F76"/>
            <rFont val="Calibri"/>
            <family val="2"/>
          </rPr>
          <t xml:space="preserve">from "operation-police-powers-terrorism-dec2018" excel from Home Office
</t>
        </r>
        <r>
          <rPr>
            <sz val="12"/>
            <color rgb="FF3F3F76"/>
            <rFont val="Calibri"/>
            <family val="2"/>
          </rPr>
          <t xml:space="preserve">
</t>
        </r>
        <r>
          <rPr>
            <sz val="12"/>
            <color rgb="FF3F3F76"/>
            <rFont val="Calibri"/>
            <family val="2"/>
          </rPr>
          <t>"The number of prisoners broken down by ideology is only available from the year ending December 2013, following a re-defining of terrorist prisoner categories. Further information can be found in the user guide."</t>
        </r>
      </text>
    </comment>
    <comment ref="B8" authorId="0" shapeId="0" xr:uid="{3B1D26B2-1999-584B-AA06-3218FF7E6A2F}">
      <text>
        <r>
          <rPr>
            <b/>
            <sz val="9"/>
            <color indexed="81"/>
            <rFont val="Calibri"/>
            <family val="2"/>
            <charset val="204"/>
          </rPr>
          <t>UK Crime figures (minus numbers from Wales), page 10:
https://webarchive.nationalarchives.gov.uk/20110218141303/http://rds.homeoffice.gov.uk/rds/pdfs05/s95race04.pdf</t>
        </r>
      </text>
    </comment>
    <comment ref="B9" authorId="0" shapeId="0" xr:uid="{3FF92314-8459-F244-8140-E5FB431712ED}">
      <text>
        <r>
          <rPr>
            <b/>
            <sz val="9"/>
            <color indexed="81"/>
            <rFont val="Calibri"/>
            <family val="2"/>
            <charset val="204"/>
          </rPr>
          <t>UK Crime figures (minus numbers from Wales), page 10:
https://webarchive.nationalarchives.gov.uk/20110218141303/http://rds.homeoffice.gov.uk/rds/pdfs05/s95race04.pdf</t>
        </r>
      </text>
    </comment>
    <comment ref="F9" authorId="0" shapeId="0" xr:uid="{1F997BB4-EC6B-1D4E-A800-F496DAED616C}">
      <text>
        <r>
          <rPr>
            <sz val="9"/>
            <color rgb="FF000000"/>
            <rFont val="Calibri"/>
            <family val="2"/>
            <charset val="204"/>
          </rPr>
          <t xml:space="preserve">September 2019 fact-sheet on right-wing extremism (appears that figures only start in 2016): https://homeofficemedia.blog.gov.uk/2019/09/20/fact-sheet-right-wing-terrorism/
</t>
        </r>
        <r>
          <rPr>
            <sz val="9"/>
            <color rgb="FF000000"/>
            <rFont val="Calibri"/>
            <family val="2"/>
            <charset val="204"/>
          </rPr>
          <t xml:space="preserve">
</t>
        </r>
        <r>
          <rPr>
            <sz val="9"/>
            <color rgb="FF000000"/>
            <rFont val="Calibri"/>
            <family val="2"/>
            <charset val="204"/>
          </rPr>
          <t xml:space="preserve">https://www.theguardian.com/uk-news/2019/sep/05/rise-in-rightwing-extremists-held-under-anti-terror-laws-in-uk
</t>
        </r>
        <r>
          <rPr>
            <sz val="9"/>
            <color rgb="FF000000"/>
            <rFont val="Calibri"/>
            <family val="2"/>
            <charset val="204"/>
          </rPr>
          <t xml:space="preserve">
</t>
        </r>
        <r>
          <rPr>
            <b/>
            <u/>
            <sz val="9"/>
            <color rgb="FF000000"/>
            <rFont val="Calibri"/>
            <family val="2"/>
          </rPr>
          <t>SEE Page 20, far-right extremists in state custody between 2013-2018</t>
        </r>
        <r>
          <rPr>
            <sz val="9"/>
            <color rgb="FF000000"/>
            <rFont val="Calibri"/>
            <family val="2"/>
            <charset val="204"/>
          </rPr>
          <t xml:space="preserve">:
</t>
        </r>
        <r>
          <rPr>
            <sz val="9"/>
            <color rgb="FF000000"/>
            <rFont val="Calibri"/>
            <family val="2"/>
            <charset val="204"/>
          </rPr>
          <t xml:space="preserve">https://assets.publishing.service.gov.uk/government/uploads/system/uploads/attachment_data/file/783893/police-powers-terrorism-dec2018-hosb0519.pdf
</t>
        </r>
        <r>
          <rPr>
            <sz val="9"/>
            <color rgb="FF000000"/>
            <rFont val="Calibri"/>
            <family val="2"/>
            <charset val="204"/>
          </rPr>
          <t xml:space="preserve">
</t>
        </r>
        <r>
          <rPr>
            <b/>
            <u/>
            <sz val="9"/>
            <color rgb="FF000000"/>
            <rFont val="Calibri"/>
            <family val="2"/>
          </rPr>
          <t>SEE reporting figures in excel sheets</t>
        </r>
        <r>
          <rPr>
            <sz val="9"/>
            <color rgb="FF000000"/>
            <rFont val="Calibri"/>
            <family val="2"/>
            <charset val="204"/>
          </rPr>
          <t xml:space="preserve">:
</t>
        </r>
        <r>
          <rPr>
            <sz val="9"/>
            <color rgb="FF000000"/>
            <rFont val="Calibri"/>
            <family val="2"/>
            <charset val="204"/>
          </rPr>
          <t>https://www.gov.uk/government/statistics/operation-of-police-powers-under-the-terrorism-act-2000-quarterly-update-to-december-2018</t>
        </r>
      </text>
    </comment>
    <comment ref="B10" authorId="0" shapeId="0" xr:uid="{C5BD0747-3812-C94C-8C76-A448EDF67167}">
      <text>
        <r>
          <rPr>
            <b/>
            <sz val="9"/>
            <color indexed="81"/>
            <rFont val="Calibri"/>
            <family val="2"/>
            <charset val="204"/>
          </rPr>
          <t>UK Crime figures (minus numbers from Wales), page 10:
https://webarchive.nationalarchives.gov.uk/20110218141303/http://rds.homeoffice.gov.uk/rds/pdfs05/s95race04.pdf</t>
        </r>
      </text>
    </comment>
    <comment ref="B11" authorId="0" shapeId="0" xr:uid="{5AEC2031-0AA1-944E-B109-08E2940834AA}">
      <text>
        <r>
          <rPr>
            <b/>
            <sz val="9"/>
            <color indexed="81"/>
            <rFont val="Calibri"/>
            <family val="2"/>
            <charset val="204"/>
          </rPr>
          <t>UK Crime figures (minus numbers from Wales), page 10:
https://webarchive.nationalarchives.gov.uk/20110218141303/http://rds.homeoffice.gov.uk/rds/pdfs05/s95race04.pdf</t>
        </r>
      </text>
    </comment>
    <comment ref="B12" authorId="0" shapeId="0" xr:uid="{D6F5B3B3-4351-5E45-A6C4-476074530B22}">
      <text>
        <r>
          <rPr>
            <b/>
            <sz val="9"/>
            <color indexed="81"/>
            <rFont val="Calibri"/>
            <family val="2"/>
            <charset val="204"/>
          </rPr>
          <t>UK Crime figures (minus numbers from Wales), page 10:
https://webarchive.nationalarchives.gov.uk/20110218141303/http://rds.homeoffice.gov.uk/rds/pdfs05/s95race04.pdf</t>
        </r>
      </text>
    </comment>
    <comment ref="B13" authorId="0" shapeId="0" xr:uid="{34C7D786-150E-A548-B5DD-04B29CE89591}">
      <text>
        <r>
          <rPr>
            <b/>
            <sz val="9"/>
            <color indexed="81"/>
            <rFont val="Calibri"/>
            <family val="2"/>
            <charset val="204"/>
          </rPr>
          <t>UK Crime figures (minus numbers from Wales), page 14:
https://www.statewatch.org/news/2007/oct/uk-race-and-cjs-stats-2006.pdf</t>
        </r>
      </text>
    </comment>
    <comment ref="B14" authorId="0" shapeId="0" xr:uid="{5E5CC42D-9B33-3E42-874E-4F8E78F825A9}">
      <text>
        <r>
          <rPr>
            <b/>
            <sz val="9"/>
            <color indexed="81"/>
            <rFont val="Calibri"/>
            <family val="2"/>
            <charset val="204"/>
          </rPr>
          <t>UK Crime figures (minus numbers from Wales), page 14:
https://www.statewatch.org/news/2007/oct/uk-race-and-cjs-stats-2006.pdf</t>
        </r>
      </text>
    </comment>
    <comment ref="B15" authorId="0" shapeId="0" xr:uid="{13EA4EC1-70F6-E14E-B2D2-C277688C554B}">
      <text>
        <r>
          <rPr>
            <b/>
            <sz val="9"/>
            <color indexed="81"/>
            <rFont val="Calibri"/>
            <family val="2"/>
            <charset val="204"/>
          </rPr>
          <t>UK Crime figures (minus numbers from Wales), page 18:
https://assets.publishing.service.gov.uk/government/uploads/system/uploads/attachment_data/file/217822/stats-race-and-the-criminal-justice-system-2008-09c1.pdf</t>
        </r>
      </text>
    </comment>
    <comment ref="B16" authorId="0" shapeId="0" xr:uid="{2836B576-AA26-D24E-8403-7000ECA18027}">
      <text>
        <r>
          <rPr>
            <b/>
            <sz val="9"/>
            <color indexed="81"/>
            <rFont val="Calibri"/>
            <family val="2"/>
            <charset val="204"/>
          </rPr>
          <t>UK Crime figures (minus numbers from Wales), page 18:
https://assets.publishing.service.gov.uk/government/uploads/system/uploads/attachment_data/file/217822/stats-race-and-the-criminal-justice-system-2008-09c1.pdf</t>
        </r>
      </text>
    </comment>
    <comment ref="B17" authorId="0" shapeId="0" xr:uid="{54163E96-8175-1E4F-A8CA-A8B7C5D3D9C1}">
      <text>
        <r>
          <rPr>
            <b/>
            <sz val="9"/>
            <color indexed="81"/>
            <rFont val="Calibri"/>
            <family val="2"/>
            <charset val="204"/>
          </rPr>
          <t>UK Crime figures (minus numbers from Wales), page 18:
https://assets.publishing.service.gov.uk/government/uploads/system/uploads/attachment_data/file/217822/stats-race-and-the-criminal-justice-system-2008-09c1.pdf</t>
        </r>
      </text>
    </comment>
    <comment ref="B18" authorId="0" shapeId="0" xr:uid="{42E2055C-0D07-1344-A9A7-8403B99D7F04}">
      <text>
        <r>
          <rPr>
            <b/>
            <sz val="9"/>
            <color indexed="81"/>
            <rFont val="Calibri"/>
            <family val="2"/>
            <charset val="204"/>
          </rPr>
          <t>UK Crime figures (minus numbers from Wales), page 33:
https://assets.publishing.service.gov.uk/government/uploads/system/uploads/attachment_data/file/269399/Race-and-cjs-2012.pdf</t>
        </r>
      </text>
    </comment>
    <comment ref="B19" authorId="0" shapeId="0" xr:uid="{A2BEB8A4-93AC-AF4C-B14E-3140C38FB3EB}">
      <text>
        <r>
          <rPr>
            <b/>
            <sz val="9"/>
            <color indexed="81"/>
            <rFont val="Calibri"/>
            <family val="2"/>
            <charset val="204"/>
          </rPr>
          <t>UK Crime figures (minus numbers from Wales), page 33:
https://assets.publishing.service.gov.uk/government/uploads/system/uploads/attachment_data/file/269399/Race-and-cjs-2012.pdf</t>
        </r>
      </text>
    </comment>
    <comment ref="B20" authorId="0" shapeId="0" xr:uid="{0523DB40-3239-1B40-BBEF-E294C9E32D69}">
      <text>
        <r>
          <rPr>
            <b/>
            <sz val="9"/>
            <color indexed="81"/>
            <rFont val="Calibri"/>
            <family val="2"/>
            <charset val="204"/>
          </rPr>
          <t>UK Crime figures (minus numbers from Wales), page 33:
https://assets.publishing.service.gov.uk/government/uploads/system/uploads/attachment_data/file/269399/Race-and-cjs-2012.pdf</t>
        </r>
      </text>
    </comment>
    <comment ref="B21" authorId="0" shapeId="0" xr:uid="{E6518250-838B-6849-B99C-5C38EAD35B6E}">
      <text>
        <r>
          <rPr>
            <b/>
            <sz val="9"/>
            <color indexed="81"/>
            <rFont val="Calibri"/>
            <family val="2"/>
            <charset val="204"/>
          </rPr>
          <t>estimate UK Crime figures (minus numbers from Wales), page 19:
https://assets.publishing.service.gov.uk/government/uploads/system/uploads/attachment_data/file/480250/bulletin.pdf</t>
        </r>
      </text>
    </comment>
    <comment ref="B22" authorId="0" shapeId="0" xr:uid="{BB57B1E7-C7FA-AE47-B3F2-797C43399664}">
      <text>
        <r>
          <rPr>
            <b/>
            <sz val="9"/>
            <color indexed="81"/>
            <rFont val="Calibri"/>
            <family val="2"/>
            <charset val="204"/>
          </rPr>
          <t>estimate UK Crime figures (minus numbers from Wales), page 19:
https://assets.publishing.service.gov.uk/government/uploads/system/uploads/attachment_data/file/480250/bulletin.pdf</t>
        </r>
      </text>
    </comment>
    <comment ref="B23" authorId="0" shapeId="0" xr:uid="{22921F90-581F-7543-AEDD-396D2A6DE892}">
      <text>
        <r>
          <rPr>
            <sz val="12"/>
            <color rgb="FF3F3F76"/>
            <rFont val="Calibri"/>
            <family val="2"/>
            <scheme val="minor"/>
          </rPr>
          <t xml:space="preserve">estimate UK Crime figures (minus numbers from Wales), page 19:
</t>
        </r>
        <r>
          <rPr>
            <sz val="12"/>
            <color rgb="FF3F3F76"/>
            <rFont val="Calibri"/>
            <family val="2"/>
            <scheme val="minor"/>
          </rPr>
          <t>https://assets.publishing.service.gov.uk/government/uploads/system/uploads/attachment_data/file/480250/bulletin.pdf</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Michael Zeller</author>
  </authors>
  <commentList>
    <comment ref="B1" authorId="0" shapeId="0" xr:uid="{D3E6B587-749C-0143-B76F-CB116D894C7D}">
      <text>
        <r>
          <rPr>
            <b/>
            <sz val="9"/>
            <color rgb="FF000000"/>
            <rFont val="Calibri"/>
            <family val="2"/>
            <charset val="204"/>
          </rPr>
          <t>Zahl der Mitglieder nach Abzug der Mehrfachmitgliedschaften</t>
        </r>
      </text>
    </comment>
    <comment ref="B6" authorId="0" shapeId="0" xr:uid="{57209492-DDB1-3246-8595-EA34BB6BAE0E}">
      <text>
        <r>
          <rPr>
            <b/>
            <sz val="9"/>
            <color rgb="FF000000"/>
            <rFont val="Calibri"/>
            <family val="2"/>
            <charset val="204"/>
          </rPr>
          <t>spike due to inclusion of REP membership in figures</t>
        </r>
      </text>
    </comment>
    <comment ref="A20" authorId="0" shapeId="0" xr:uid="{45357176-3F1A-644F-BD30-8C99E22DEB1A}">
      <text>
        <r>
          <rPr>
            <b/>
            <sz val="9"/>
            <color indexed="81"/>
            <rFont val="Calibri"/>
            <family val="2"/>
            <charset val="204"/>
          </rPr>
          <t>REP no longer counted in figures (6000 members at last counting)</t>
        </r>
      </text>
    </comment>
    <comment ref="B33" authorId="0" shapeId="0" xr:uid="{A0956137-B73C-2941-9ACC-F08CEBE449CD}">
      <text>
        <r>
          <rPr>
            <b/>
            <sz val="9"/>
            <color rgb="FF000000"/>
            <rFont val="Calibri"/>
            <family val="2"/>
            <charset val="204"/>
          </rPr>
          <t>spike due to inclusion of AfD membership in figures</t>
        </r>
      </text>
    </comment>
  </commentList>
</comments>
</file>

<file path=xl/sharedStrings.xml><?xml version="1.0" encoding="utf-8"?>
<sst xmlns="http://schemas.openxmlformats.org/spreadsheetml/2006/main" count="1819" uniqueCount="768">
  <si>
    <t>Duration (months)</t>
  </si>
  <si>
    <t>NAME</t>
  </si>
  <si>
    <t>Campaign Name</t>
  </si>
  <si>
    <t>DUR</t>
  </si>
  <si>
    <t>YEAR</t>
  </si>
  <si>
    <t>CAMPAIGNS</t>
  </si>
  <si>
    <t>ID</t>
  </si>
  <si>
    <t>DATA INPUT TYPE</t>
  </si>
  <si>
    <t>COUNTRY</t>
  </si>
  <si>
    <t>Country of campaign</t>
  </si>
  <si>
    <t>LOC</t>
  </si>
  <si>
    <t>City, locality, or space</t>
  </si>
  <si>
    <t>narrative</t>
  </si>
  <si>
    <t>Year(s) of campaign</t>
  </si>
  <si>
    <t>year range</t>
  </si>
  <si>
    <t>SMO</t>
  </si>
  <si>
    <t>1 (present), 0 (not)</t>
  </si>
  <si>
    <t>NSMO</t>
  </si>
  <si>
    <t>Known SMO(s) involved</t>
  </si>
  <si>
    <t>number of SMOs involved in far-right campaign</t>
  </si>
  <si>
    <t>SMOS</t>
  </si>
  <si>
    <t>SMOs involved in campaign</t>
  </si>
  <si>
    <t>PSMO</t>
  </si>
  <si>
    <t>primary organising SMO, if known</t>
  </si>
  <si>
    <t>VIO</t>
  </si>
  <si>
    <t>VIOD</t>
  </si>
  <si>
    <t>RVIO</t>
  </si>
  <si>
    <t>Recurrent violence in campaign</t>
  </si>
  <si>
    <t>Description of campaign violence</t>
  </si>
  <si>
    <t>PUR</t>
  </si>
  <si>
    <t>Description of purpose of campaign</t>
  </si>
  <si>
    <t>COUNTER</t>
  </si>
  <si>
    <t>ASIZ</t>
  </si>
  <si>
    <t>Average size of participants in campaign</t>
  </si>
  <si>
    <t>numerical: averaged number of participants</t>
  </si>
  <si>
    <t>numerical: number of months</t>
  </si>
  <si>
    <t>ACSIZ</t>
  </si>
  <si>
    <t>Average size of participants in counter-demos across campaign</t>
  </si>
  <si>
    <t>CVIO</t>
  </si>
  <si>
    <t>Counter-demonstration violence present</t>
  </si>
  <si>
    <t>CVIOD</t>
  </si>
  <si>
    <t>CINST</t>
  </si>
  <si>
    <t>Countering institutional activity present</t>
  </si>
  <si>
    <t>CINSTD</t>
  </si>
  <si>
    <t>Description of countering institutional activism</t>
  </si>
  <si>
    <t>POL1</t>
  </si>
  <si>
    <t>Police presence across campaigns</t>
  </si>
  <si>
    <t>POL2</t>
  </si>
  <si>
    <t>Police engaged in any activity besides mere presence</t>
  </si>
  <si>
    <t>ARR</t>
  </si>
  <si>
    <t>Recurrent arrests of far-right demonstrators</t>
  </si>
  <si>
    <t>numerical</t>
  </si>
  <si>
    <t>CARR</t>
  </si>
  <si>
    <t>Recurrent arrests of counter-demonstrators</t>
  </si>
  <si>
    <t>Description of counter-campaign violence</t>
  </si>
  <si>
    <t>CSMO</t>
  </si>
  <si>
    <t>Known countering SMO(s) involved</t>
  </si>
  <si>
    <t>CSMOS</t>
  </si>
  <si>
    <t>Countering SMOs involved in the campaign</t>
  </si>
  <si>
    <t>POSD</t>
  </si>
  <si>
    <t>Evidence of 'positive demobilisation' (claims validated or actioned, winning)</t>
  </si>
  <si>
    <t>NEGD1</t>
  </si>
  <si>
    <t>Termination or significant alteration of initiating far-right SMO (e.g., not longer acting openly due to being banned, fracturing)</t>
  </si>
  <si>
    <t>NEGD2</t>
  </si>
  <si>
    <t>Departure of individuals, esp. core members</t>
  </si>
  <si>
    <t>NEGD3</t>
  </si>
  <si>
    <t>Termination or reduction of interventions</t>
  </si>
  <si>
    <t>NEGD4</t>
  </si>
  <si>
    <t>Shift in ideas (about the object of campaigning)</t>
  </si>
  <si>
    <t>NSP</t>
  </si>
  <si>
    <t>Presence of National-State pressure</t>
  </si>
  <si>
    <t>LSP</t>
  </si>
  <si>
    <t>Presence of local-State pressure (police, local politicians, etc.)</t>
  </si>
  <si>
    <t>ORGF</t>
  </si>
  <si>
    <t>Evidence of organisational failure by far-right SMO</t>
  </si>
  <si>
    <t>LOSTP</t>
  </si>
  <si>
    <t>Evidence of lost participation in far-right SMO</t>
  </si>
  <si>
    <t>AUT, ENG, GER</t>
  </si>
  <si>
    <t>ENG</t>
  </si>
  <si>
    <t>EDL</t>
  </si>
  <si>
    <t>Public order offences</t>
  </si>
  <si>
    <t>Protest over the murder of Lee Rigby</t>
  </si>
  <si>
    <t>GER</t>
  </si>
  <si>
    <t>Wunsiedel</t>
  </si>
  <si>
    <t>Memorialise Hess</t>
  </si>
  <si>
    <t>National Liste</t>
  </si>
  <si>
    <t>multi-nomial, '99' means more than 5</t>
  </si>
  <si>
    <t>Passau</t>
  </si>
  <si>
    <t>NPD</t>
  </si>
  <si>
    <t>Unique campaign ID Event ID is set in the form yy[1]yy[2]c, where yy1 is the two-digit (campaign-intiating) year, yy2 is the two-digit (campaign-ending) year, and c is the country code</t>
  </si>
  <si>
    <t>AUS</t>
  </si>
  <si>
    <t>Berlin</t>
  </si>
  <si>
    <t>Leipzig</t>
  </si>
  <si>
    <t>Oppose the 'criminalisation' of WWII German soldiers</t>
  </si>
  <si>
    <t>Promote NPD</t>
  </si>
  <si>
    <t>Dresden</t>
  </si>
  <si>
    <t>Hamburg</t>
  </si>
  <si>
    <t>Wien</t>
  </si>
  <si>
    <t>Linz</t>
  </si>
  <si>
    <t>Identitären Bewegung</t>
  </si>
  <si>
    <t>Wien FPÖ</t>
  </si>
  <si>
    <t>Wiener Korporations-Ring</t>
  </si>
  <si>
    <t>Far-right fraternity celebration</t>
  </si>
  <si>
    <t>Promote far right</t>
  </si>
  <si>
    <t>REP</t>
  </si>
  <si>
    <t>Halbe</t>
  </si>
  <si>
    <t>Clashes with police and property damage</t>
  </si>
  <si>
    <t>DVU</t>
  </si>
  <si>
    <t>PEGIDA (Dresden)</t>
  </si>
  <si>
    <t>Oppose Islamic immigration</t>
  </si>
  <si>
    <t>HoGeSa</t>
  </si>
  <si>
    <t>Oppose Salafism</t>
  </si>
  <si>
    <t>Deutschen Kulturgemeinschaft</t>
  </si>
  <si>
    <t>Blockades</t>
  </si>
  <si>
    <t>Magdeburg</t>
  </si>
  <si>
    <t>Mourn US bombing victims</t>
  </si>
  <si>
    <t>Junge Nationaldemokraten (Youth NPD)</t>
  </si>
  <si>
    <t>?</t>
  </si>
  <si>
    <t>Dortmund</t>
  </si>
  <si>
    <t>Autonome Nationalisten</t>
  </si>
  <si>
    <t>Klagenfurt</t>
  </si>
  <si>
    <t>Legida</t>
  </si>
  <si>
    <t>Pegida (Dresden)</t>
  </si>
  <si>
    <t>Sachsen</t>
  </si>
  <si>
    <t>Antifa, Bündnis gegen Rechts</t>
  </si>
  <si>
    <t>Arbeitskreis gegen den kärntner Konsens</t>
  </si>
  <si>
    <t>Memorialise fallen WWII soldiers--Ulrichsberg is a contested annual rally: some treat it as a far-right meeting point, others as a earnest memorial</t>
  </si>
  <si>
    <t>Ulrichsberggemeinschaft</t>
  </si>
  <si>
    <t>British National Party</t>
  </si>
  <si>
    <t>Die Republikaner</t>
  </si>
  <si>
    <t>Promote REP</t>
  </si>
  <si>
    <t>2001-2004</t>
  </si>
  <si>
    <t>Geisenhausen</t>
  </si>
  <si>
    <t>Schneeberg</t>
  </si>
  <si>
    <t>NPD (Sachsen)</t>
  </si>
  <si>
    <t>Protest against asylum home in Erzgebirge</t>
  </si>
  <si>
    <t>Schneeberg für Menschlichkeit, Antifa, Autonomists</t>
  </si>
  <si>
    <t>Burschenschaft Arminia Czernowitz zu Linz</t>
  </si>
  <si>
    <t>Die Rechte, NPD</t>
  </si>
  <si>
    <t>Gegen imperialistische Kriegstreiberei und Aggressionskriege</t>
  </si>
  <si>
    <t>Bad Nenndorf</t>
  </si>
  <si>
    <t>Mourn post-WWII detainees</t>
  </si>
  <si>
    <t>Chemnitz</t>
  </si>
  <si>
    <t>NEVE</t>
  </si>
  <si>
    <t>numerical: number of coded events</t>
  </si>
  <si>
    <t>Mittenwald</t>
  </si>
  <si>
    <t>Kameradenkreis der Gebirgstruppe, Bundeswehr</t>
  </si>
  <si>
    <t>Honour fallen of WWII</t>
  </si>
  <si>
    <t>Antifaschistisches Bündnis, Vereinigung der Verfolgten des Naziregimes - Bund der Antifaschisten (VVN-BdA), Gruppe Angreifbare Traditionspflege erneut in Mittenwald</t>
  </si>
  <si>
    <t>Heidenau</t>
  </si>
  <si>
    <t>various</t>
  </si>
  <si>
    <t>14151</t>
  </si>
  <si>
    <t>Wien, Speilfeld</t>
  </si>
  <si>
    <t>2014-2015</t>
  </si>
  <si>
    <t>Responding to violence from left-wing activists</t>
  </si>
  <si>
    <t>Oppose immigration</t>
  </si>
  <si>
    <t>Autonomen and student groups</t>
  </si>
  <si>
    <t>Clashes with police, property damage, attempts to blockade</t>
  </si>
  <si>
    <t>05133</t>
  </si>
  <si>
    <t>2005-2013</t>
  </si>
  <si>
    <t>06153</t>
  </si>
  <si>
    <t>2006-2015</t>
  </si>
  <si>
    <t>NPD, Ehrenkomitee 8. Mai, Aktionsbüro Norddeutschland, Freie Kameradschaften, Autonomous Nationalisten, Niederländischen Volksunion, Freie Krafte</t>
  </si>
  <si>
    <t>DWB (Deutschen Gewerkschaftsbund), Bürgerbündnis, IG Metall, Bad Nenndorf ist bunt, Antifa, Kulturfest, Rechts gegen Rechts, Für ein nazifreies Schaumburg</t>
  </si>
  <si>
    <t>Blockades, creative disruption tactics, noise disruption</t>
  </si>
  <si>
    <t>90013</t>
  </si>
  <si>
    <t>Passau ist keine braune Stadt, trade unions, SPD &amp; Grüne, schools, Vereins "Gegen Vergessen - Für Demokratie", youth Antifa</t>
  </si>
  <si>
    <t>Annual party congress</t>
  </si>
  <si>
    <t>Oppose Islamification of Europe</t>
  </si>
  <si>
    <t>Gepida - "Genervte Einwohner protestieren gegen Intoleranz Dresdner Außenseiter"; Bündnis 'Herze statt Hetze'; Dresden Nazifrei</t>
  </si>
  <si>
    <t>Jena, Altenburg</t>
  </si>
  <si>
    <t>civic groups</t>
  </si>
  <si>
    <t>2015-2015</t>
  </si>
  <si>
    <t>Oppose asylum settlement</t>
  </si>
  <si>
    <t>97993</t>
  </si>
  <si>
    <t>1997-1999</t>
  </si>
  <si>
    <t>NPD, Junge Nationaldemokraten, Republikaner, Freie Kameradschaften, Aktionsbündnis Saar gegen die Anti Wehrmachtsausstellung; Der Stahlhelm - Kampfbund für Europa</t>
  </si>
  <si>
    <t>altercations with police and counter-demonstrators</t>
  </si>
  <si>
    <t>Bündnis gegen Rechts (BGR), Autonomen, Avanti, Kölner an sich</t>
  </si>
  <si>
    <t>Blockades of march routes, clashes with far-right individuals</t>
  </si>
  <si>
    <t>01043a</t>
  </si>
  <si>
    <t>NPD, Junge Nationaldemokraten (Youth NPD), REP, Deutsche Volksunion, freie Kameradschaften, Die Rechte, Aktionsbüros Norddeutschland</t>
  </si>
  <si>
    <t>Bündnis gegen Rechts, Kulturfest gegen Rechts, Bundes der Verfolgten des Naziregimes (VVN), Autonomen</t>
  </si>
  <si>
    <t>Clashes and disruption</t>
  </si>
  <si>
    <t>Wunsiedel, various</t>
  </si>
  <si>
    <t>National Liste (Worch); Deutsche Alternative (Kühnen); Jürgen Rieger; Nationale Alternative (Gottfried Küssel), Hilfsgemeinschaft Freiheit für Rudolf Heß (Berthold Dinter), Rudolf-Heß-Gesellschaft e.V (B. Dinter),  Deutsche Nationalistisches Partei (DNP); Aktion freies Deutschland (Wolfgang Juchem); Nationalen Block (NB, Hans-Günter Laimer); Freedom of the German Workers Party (FAP), National Offensive (NO), National Block (NB), the German Way (DW)," German Hesse "(DH), "German Alternative" (DA),  "Ruhrfront" (RF), "Sauerland Action Front" (SAF), "Wiking Youth" (WJ), NPD, Kameradschaft Gorbitz (Lutz Kronenberger), Berliner Forum, Deutsche Liga für Volk und Heimat. Internationals [Der Däne Rijs Knudsen aus Aalborg], World Union of National Socialists, DNSB; Der Belgier Bert Erikson (VMO-ODAL) aus Antwerpen, der Franzose Claude Cornilleau aus Paris (PFNE), der Italiener Aldo M. (Mailand), der Spanier Christian Ruiz aus Madrid (CEDADE), "Pamjat" (Память) from Russia, the "Afrikaner Weerstandsbeweging" (AWB) from South Africa</t>
  </si>
  <si>
    <t>Clashes with Antifa (massive mobilisation) and police</t>
  </si>
  <si>
    <t>Antifa, Autonomen</t>
  </si>
  <si>
    <t>Disparate levels of organisation to the violence, but recurrent and intense</t>
  </si>
  <si>
    <t>Aktions­büros Norddeutschland (Rieger), NPD, Kameradschaften</t>
  </si>
  <si>
    <t>Aktions­büros Norddeutschland</t>
  </si>
  <si>
    <t>Antifa, Autonomen, civic groups</t>
  </si>
  <si>
    <t>Köln, Hannover, Ludwigshafen</t>
  </si>
  <si>
    <t>Hooligans gegen Salafisten (HoGeSa), Gemeinschafts-Stark Deutschland eV (split of HoGeSa), pro-NRW, Kögida (cancelled their separately planned event and joined HoGeSa)</t>
  </si>
  <si>
    <t>Attacks on foreign-looking bystanders, fights with counter-demonstraters, general 'hooliganism'</t>
  </si>
  <si>
    <t>Antifa, Ludwigshafen ist bunt, coalition of civic groups</t>
  </si>
  <si>
    <t>Recurrent attempts at violence by Antifa activists, mostly prevented by police</t>
  </si>
  <si>
    <t>Bündnis 'Legida? Läuft nicht'; Student_innenRat der Universität Leipzig, No Legiada, Leipzig Courage zeigen, Church groups, civil society groups, left-wing parties, student councils</t>
  </si>
  <si>
    <t>Violence early in campaign, but scarcely any later</t>
  </si>
  <si>
    <t>13143</t>
  </si>
  <si>
    <t>2013-2014</t>
  </si>
  <si>
    <t>14153</t>
  </si>
  <si>
    <t>Faternity celebration</t>
  </si>
  <si>
    <t>Linz Gegen Rechts, Arbeitskreis gegen das Korporierten-Unwesen</t>
  </si>
  <si>
    <t>Mourn US Bombing victims</t>
  </si>
  <si>
    <t>Bündnis gegen Rechts Magdeburg, Miteinander eV, Mile of Democracy, Autonome Antifa Magdeburg, Autonome Linke Magdeburg, Antifa Aktion Burg, Left Resistance Wittenberg, Antifa Infoportal Osterburg, afa06</t>
  </si>
  <si>
    <t>Blockades and disruption</t>
  </si>
  <si>
    <t>09142</t>
  </si>
  <si>
    <t>2009-2014</t>
  </si>
  <si>
    <t>Public order offences, hooliganism, and often clashes with police and counter-protesters</t>
  </si>
  <si>
    <t>Oppose Islamic extremism</t>
  </si>
  <si>
    <t>Unite Against Facism (UAF), Trades Union Congress (TUC), Unite Union, Socialist Workers Party (SWP), We are Bradford, Nuneaton Anti-Fascist Alliance, Peterborough Trades Union Council, Blackburn and Darwen United Against Racism, Lancashire Council of Mosques, Blackburn College Students' Union, Muslim Defence League, United Colours of Middlesbrough, North of England Refugee Service, Islamic Forum of Europe, We are Luton,  We are Bristol; Unite Bristol Against the EDL rally, Anti-Capitalist Action, English Disco Lovers, We are Batley</t>
  </si>
  <si>
    <t>Occasional violence against EDL activists</t>
  </si>
  <si>
    <t>01123</t>
  </si>
  <si>
    <t>2001-2012</t>
  </si>
  <si>
    <t>NPD, DVU, REP, Ring Nationaler Frauen (RNF)</t>
  </si>
  <si>
    <t>99092</t>
  </si>
  <si>
    <r>
      <t>Denby,</t>
    </r>
    <r>
      <rPr>
        <i/>
        <sz val="12"/>
        <color theme="1"/>
        <rFont val="Calibri"/>
        <family val="2"/>
        <scheme val="minor"/>
      </rPr>
      <t xml:space="preserve"> various</t>
    </r>
  </si>
  <si>
    <t>1999-2009</t>
  </si>
  <si>
    <t>Promote BNP, especially to families</t>
  </si>
  <si>
    <t>UAF, local anti-fascist groups (conflicting with UAF), ANL</t>
  </si>
  <si>
    <t>Some attempted blockading</t>
  </si>
  <si>
    <t>98053</t>
  </si>
  <si>
    <t>1998-2005</t>
  </si>
  <si>
    <t>Mourn Lee Rigby</t>
  </si>
  <si>
    <t>13132</t>
  </si>
  <si>
    <t>2013-2013</t>
  </si>
  <si>
    <t>Unite Against Fascism (UAF); Muslim Defence League; English Disco Lovers; Newcastle Unites</t>
  </si>
  <si>
    <t>Public order offenses</t>
  </si>
  <si>
    <t>07133</t>
  </si>
  <si>
    <t>2007-2013</t>
  </si>
  <si>
    <t>NPD, Die Rechte, III Weg</t>
  </si>
  <si>
    <t>Antifa, Bündnis gegen Rechts, Aktionsbündnis Bunt Stoppt Braun, Hamburg bekennt Farbe, No TDDZ – Keine Zukunft für Nazis</t>
  </si>
  <si>
    <t>Blockades, attacking police, clashes with far-right activists</t>
  </si>
  <si>
    <t>00133</t>
  </si>
  <si>
    <t>2000-2013</t>
  </si>
  <si>
    <t>Junge Landsmannschaft Ostdeutschland (JLO), NPD; Aktionsbündnis gegen das Vergessen (AgdV)</t>
  </si>
  <si>
    <t>Antifa, Autonomen Dresden, AVANTI – Projekt undogmatische Linke, Dresden Nazi Frei (Antifa), No pasaràn, “gruppe gegenstrom” and “basisgruppe geschichte Göttingen”, Avanti Projekt undogmatische Linke, TOP B3rlin, autonome antifa [f] from Frankfurt M, Aktionsbündnis Bunt Stoppt Braun</t>
  </si>
  <si>
    <t>Blockading, rioting, property damage</t>
  </si>
  <si>
    <t>58171</t>
  </si>
  <si>
    <t>1958-2017</t>
  </si>
  <si>
    <t>90923</t>
  </si>
  <si>
    <t>1990-1992</t>
  </si>
  <si>
    <t>Wiking Youth, Deutschen Kulturgemeinschaft, Berliner Kulturgemeinschaft Preußen (BKP), Kameradenwerk Korps Steiner e.V., Hilfsgemeinschaft auf Gegenseitigkeit der Angehörigen der ehemaligen Waffen-SS (HIAG), Nationalistischen Front (NF), Deutsche Alternative (DA), FAP, Junge Nationaldemokraten (JN)</t>
  </si>
  <si>
    <t>Honour Waffen-SS</t>
  </si>
  <si>
    <t>1?</t>
  </si>
  <si>
    <t>02073</t>
  </si>
  <si>
    <t>2002-2007</t>
  </si>
  <si>
    <t>Antifa, various civic groups</t>
  </si>
  <si>
    <t>Burschenschaften celebration</t>
  </si>
  <si>
    <t>NOWKR, Offensive gegen Rechts, Jetzt Zeichen setzen and autonomous groups</t>
  </si>
  <si>
    <t>Attempted blockades, attacks in black bloc against police and property</t>
  </si>
  <si>
    <t>52121</t>
  </si>
  <si>
    <t>1952-2012</t>
  </si>
  <si>
    <t>Wiener Korporations-Ring, Burschenschaft Aldania Wien, Burschenschaft Albia, Burschenschaft Libertas, (and on one occasion: Swedish Democrats, Vlaams Belang, Marine Le Pen)</t>
  </si>
  <si>
    <t>0?</t>
  </si>
  <si>
    <t>NCSMO</t>
  </si>
  <si>
    <t>number of countering SMOs involved against far-right campaign</t>
  </si>
  <si>
    <t>NOWKR, Offensive gegen Rechts, Committee for Direct Democracy, Green party, Austrian Students' Union (ÖH), Jewish Community of Vienna (IKG), SOS Mitmensch, Arbeitskreis gegen den WKR (Autonomen)</t>
  </si>
  <si>
    <t>TDUR</t>
  </si>
  <si>
    <t>Total Duration (months), including events outside 1990-2015 period</t>
  </si>
  <si>
    <t>1987-2001</t>
  </si>
  <si>
    <t>ONGO</t>
  </si>
  <si>
    <t>Ongoing demonstration campaign</t>
  </si>
  <si>
    <t>1 (ongoing), 0 (not ongoing)</t>
  </si>
  <si>
    <t>1988-1994</t>
  </si>
  <si>
    <t>Number of events in the campaign, within 1990-2015 period</t>
  </si>
  <si>
    <t>LD</t>
  </si>
  <si>
    <t>LMOB</t>
  </si>
  <si>
    <t>SMOB</t>
  </si>
  <si>
    <t>Largest number mobilised in a campaign event</t>
  </si>
  <si>
    <t>Smallest number mobilised in a campaign event</t>
  </si>
  <si>
    <t>END</t>
  </si>
  <si>
    <t>Year periodising campaign: i.e., year or negative demobilisation, or positive demobilisation or non-demobilisation</t>
  </si>
  <si>
    <t>year</t>
  </si>
  <si>
    <t>ND_event</t>
  </si>
  <si>
    <t>ND_size</t>
  </si>
  <si>
    <t>87943</t>
  </si>
  <si>
    <t>2015-2016</t>
  </si>
  <si>
    <t>15163</t>
  </si>
  <si>
    <t>01083</t>
  </si>
  <si>
    <t>SCH</t>
  </si>
  <si>
    <t>SCO</t>
  </si>
  <si>
    <t>PCO</t>
  </si>
  <si>
    <t>PCH</t>
  </si>
  <si>
    <t>ND</t>
  </si>
  <si>
    <t>PEGIDA Dresden</t>
  </si>
  <si>
    <t>Freital</t>
  </si>
  <si>
    <t>Bürgerinitiative Freital</t>
  </si>
  <si>
    <t>Oppose Islamic immigration and resettlement of refugees in Freital</t>
  </si>
  <si>
    <t>Bürgerinitiative Freital wehrt sich - Nein zum Hotelheim</t>
  </si>
  <si>
    <t>15153b</t>
  </si>
  <si>
    <t>15153a</t>
  </si>
  <si>
    <t>Freital Nazifrei, Organisation für Weltoffenheit und Toleranz Freital und Umgebung, Antifa</t>
  </si>
  <si>
    <t>Bürgerinitiative Heidenau hört zu, NPD</t>
  </si>
  <si>
    <t>15153c</t>
  </si>
  <si>
    <t>links aktivisten, Grüne, SPD</t>
  </si>
  <si>
    <t>clashes with police and pro-Asyl demonstrators</t>
  </si>
  <si>
    <t>responsive/defensive violence</t>
  </si>
  <si>
    <t>Prevent asylee housing in former Baumarkt in Heidenau</t>
  </si>
  <si>
    <t>Oppose planning for asyl-housing in Einsiedel</t>
  </si>
  <si>
    <t>15153d</t>
  </si>
  <si>
    <t>Bürgerinitiative Einsiedel</t>
  </si>
  <si>
    <t>FR blockade of access to Asylheim</t>
  </si>
  <si>
    <t>2005-2010</t>
  </si>
  <si>
    <t>05103</t>
  </si>
  <si>
    <t>clashes with police</t>
  </si>
  <si>
    <t>Free Tommy Robinson</t>
  </si>
  <si>
    <t>Support Tommy Robinson</t>
  </si>
  <si>
    <t>14203</t>
  </si>
  <si>
    <t>48201</t>
  </si>
  <si>
    <t>57201</t>
  </si>
  <si>
    <t>1957-2020</t>
  </si>
  <si>
    <t>13201</t>
  </si>
  <si>
    <t>Football Lads Alliance</t>
  </si>
  <si>
    <t>09203</t>
  </si>
  <si>
    <t>2009-2020</t>
  </si>
  <si>
    <t>Justice for the Women of Sunderland</t>
  </si>
  <si>
    <t>Protest against reported assault on women</t>
  </si>
  <si>
    <t>Justice for the Women of Sunderland; Democratic Football Lads Alliance</t>
  </si>
  <si>
    <t>Sunderland, Middlesbrough, Newcastle</t>
  </si>
  <si>
    <t>2018-2019</t>
  </si>
  <si>
    <t>Sunderland Unites; Stand Up To Racism North East; Stand Up To Racism; Unite; GMB; North East Coalition for Asylum and Refugee Rights</t>
  </si>
  <si>
    <t>Democratic Football Lads Alliance</t>
  </si>
  <si>
    <t>Democratic Football Lads Alliance; Football Lads Alliance; White Pendragons; For Britain; Veteran Against Terrorism (VAT)</t>
  </si>
  <si>
    <t>Stand Up to Racism; United Against Fascism</t>
  </si>
  <si>
    <t>18182</t>
  </si>
  <si>
    <t>2018-2018</t>
  </si>
  <si>
    <t>anti-Islam, anti-grooming gangs, and assorted goals</t>
  </si>
  <si>
    <t>against (Islamic) extremism</t>
  </si>
  <si>
    <t>17182</t>
  </si>
  <si>
    <t>2017-2018</t>
  </si>
  <si>
    <t>Football Lads Alliance; Veterans Against Terrorism (VAT); Democratic Football Lads Alliance; Justice4the21</t>
  </si>
  <si>
    <t>Generation Identity/Tommy Robinson</t>
  </si>
  <si>
    <t>Generation Identity/Tommy Robinson; UKIP; Democratic Football Lads Alliance; White Pendragons; Wolnosc (Liberty) party of Poland; Vlaams Belang; Party for Freedom (PVV) in the Netherlands; For Britain</t>
  </si>
  <si>
    <t>18192a</t>
  </si>
  <si>
    <t>18192b</t>
  </si>
  <si>
    <t>London, Leeds</t>
  </si>
  <si>
    <t>Unite Against Fascism; Stand Up to Racism; London Anti-Fascist Assembly; Anti-Fascism Network; Plan C; Unite, UCU, CWU, Unison, RMT, PCS and NEU unions</t>
  </si>
  <si>
    <t>Pro Chemnitz</t>
  </si>
  <si>
    <t>Safety for Chemnitz</t>
  </si>
  <si>
    <t>Pro Chemnitz, AfD, Dritte Weg, PEGIDA, NPD, Kaotic Chemnitz</t>
  </si>
  <si>
    <t>attacks on foreign-looking bystanders, fights with counter-demonstraters, attacks on journalists</t>
  </si>
  <si>
    <t>Chemnitz Nazifrei; Initiative Aufstehen gegen Rassismus Chemnitz</t>
  </si>
  <si>
    <t>Wir für Deutschland (WfD) / Pro Deutschland</t>
  </si>
  <si>
    <t>Wir für Deutschland (WfD) / Pro Deutschland (Enrico Stubbe); Kameradschaft Northeim (Thorsten Heise); NPD; Die Rechte; BÄRGIDA; Identitäre Bewegung; Bündnis Deutscher Hools; LEGIDA; AfD; Thügida</t>
  </si>
  <si>
    <t>Oppose Merkel gov. migration policy, geared towards run-up to 2017 election</t>
  </si>
  <si>
    <t>Berliner Bündnis gegen Rechts; Bündnis für ein weltoffenes und tolerantes Berlin; Zivilcourage - Gegen Rechts; DGB; Grünen</t>
  </si>
  <si>
    <t>16173</t>
  </si>
  <si>
    <t>2016-2017</t>
  </si>
  <si>
    <t>one successful blockade action, other attempts</t>
  </si>
  <si>
    <t>2018 Pro Chemnitz</t>
  </si>
  <si>
    <t>Bundesverband Lebensrecht</t>
  </si>
  <si>
    <t>Against abortion, euthanasia practices, stem cell research</t>
  </si>
  <si>
    <t>Bündnis für sexuelle Selbstbestimmung; Bündnis "What The Fuck!"; Grüne, Linke und Gewerkschaften; Omas gegen Rechts</t>
  </si>
  <si>
    <t>02203</t>
  </si>
  <si>
    <t>blockades</t>
  </si>
  <si>
    <t>AfD; PEGIDA; Cottbuser Verein „Zukunft Heimat“; Identitären Bewegung</t>
  </si>
  <si>
    <t>Against UN-Migrationspakt</t>
  </si>
  <si>
    <t>18183b</t>
  </si>
  <si>
    <t>18183a</t>
  </si>
  <si>
    <t>Rostocknazifrei; Linke; Jusos; unions</t>
  </si>
  <si>
    <t>one instance of blockading</t>
  </si>
  <si>
    <t>Leinefelde</t>
  </si>
  <si>
    <t>NPD-Kreisverband Eichsfeld; Europäische Aktion (EA)</t>
  </si>
  <si>
    <t>S/TH-ÜGIDA</t>
  </si>
  <si>
    <t>THÜGIDA</t>
  </si>
  <si>
    <t>Justice for Women and Children</t>
  </si>
  <si>
    <t>11193</t>
  </si>
  <si>
    <t>2011-2019</t>
  </si>
  <si>
    <t>Organise far-right support</t>
  </si>
  <si>
    <t>Eichsfelder Bündnis gegen Rechts; „No Heimat“-Antifa-Bündnis; Jusos; Linke; Queer-Block; parties; unions; antifa; DGB Jugend Thüringen; Linksjugend Solid Eichsfeld; Association Progrès; Bündnis der Leinefelder Zivilgesellschaft</t>
  </si>
  <si>
    <t>Mobilise extreme right support in Thüringen/Sachsen</t>
  </si>
  <si>
    <t>15173</t>
  </si>
  <si>
    <t>2015-2017</t>
  </si>
  <si>
    <t>THÜGIDA, SÜGIDA, „Wir lieben Sachsen“, „Wir lieben den Saale-Holzland-Kreis“, Bürgerinitiative „Wir lieben Ostthüringen“, Bürgerinitiative „Wir lieben Gera“, Bürgerinitiative „Wir lieben den Saale-Orla-Kreis“</t>
  </si>
  <si>
    <t>Südthüringen bleibt bunt, Bündnis gegen rechts, antifa</t>
  </si>
  <si>
    <t>05233</t>
  </si>
  <si>
    <t>NPD, Junge Nationaldemokraten (Youth NPD), Ring Nationaler Frauen (RNF), Freie Nationalisten, MAGIDA, NSP, Bürgerinitiative Magdeburg</t>
  </si>
  <si>
    <t>2005-</t>
  </si>
  <si>
    <t>1948-</t>
  </si>
  <si>
    <t>2014-</t>
  </si>
  <si>
    <t>2013-</t>
  </si>
  <si>
    <t>2002-</t>
  </si>
  <si>
    <t>15203</t>
  </si>
  <si>
    <t>2015-</t>
  </si>
  <si>
    <t>Dresden Nazifrei</t>
  </si>
  <si>
    <t>00203</t>
  </si>
  <si>
    <t>2000-</t>
  </si>
  <si>
    <t>Junge Landsmannschaft Ostdeutschland (JLO), NPD; Aktionsbündnis gegen das Vergessen (AgdV); Maik Müller; NPD; III. Weg; Neue Stärke Partei</t>
  </si>
  <si>
    <t>Maik Müller; NPD; III. Weg; Neue Stärke Partei; Aktionsbündnis gegen das Vergessen (AgdV)</t>
  </si>
  <si>
    <t>Dresden Nazifrei; Antifa, Autonomen Dresden, AVANTI – Projekt undogmatische Linke, Dresden Nazi Frei (Antifa), No pasaràn, “gruppe gegenstrom” and “basisgruppe geschichte Göttingen”, Avanti Projekt undogmatische Linke, TOP B3rlin, autonome antifa [f] from Frankfurt M, Aktionsbündnis Bunt Stoppt Braun</t>
  </si>
  <si>
    <t>IB Anti-refugee</t>
  </si>
  <si>
    <t>vote</t>
  </si>
  <si>
    <t>candidates</t>
  </si>
  <si>
    <t>councils</t>
  </si>
  <si>
    <t>seats_won</t>
  </si>
  <si>
    <t>seats_held</t>
  </si>
  <si>
    <t>election</t>
  </si>
  <si>
    <t>votes</t>
  </si>
  <si>
    <t>total</t>
  </si>
  <si>
    <t>general election</t>
  </si>
  <si>
    <t>ambervalley</t>
  </si>
  <si>
    <t>European election</t>
  </si>
  <si>
    <t>devon</t>
  </si>
  <si>
    <t>essex</t>
  </si>
  <si>
    <t>hampshire</t>
  </si>
  <si>
    <t>hertfordshire</t>
  </si>
  <si>
    <t>kent</t>
  </si>
  <si>
    <t>leicestershire</t>
  </si>
  <si>
    <t>lincolnshire</t>
  </si>
  <si>
    <t>northamptonshire</t>
  </si>
  <si>
    <t>nottinghamshire</t>
  </si>
  <si>
    <t>surrey</t>
  </si>
  <si>
    <t>warwickshire</t>
  </si>
  <si>
    <t>westsussex</t>
  </si>
  <si>
    <t>worchestershire</t>
  </si>
  <si>
    <t>durham</t>
  </si>
  <si>
    <t>shropshire</t>
  </si>
  <si>
    <t>barnsley</t>
  </si>
  <si>
    <t>https://researchbriefings.files.parliament.uk/documents/SN05064/SN05064.pdf</t>
  </si>
  <si>
    <t>birmingham</t>
  </si>
  <si>
    <t>bolton</t>
  </si>
  <si>
    <t>members</t>
  </si>
  <si>
    <t>bradford</t>
  </si>
  <si>
    <t>coventry</t>
  </si>
  <si>
    <t>dudley</t>
  </si>
  <si>
    <t>leeds</t>
  </si>
  <si>
    <t>liverpool</t>
  </si>
  <si>
    <t>manchester</t>
  </si>
  <si>
    <t>newcastle</t>
  </si>
  <si>
    <t>rotherham</t>
  </si>
  <si>
    <t>sthelens</t>
  </si>
  <si>
    <t>salford</t>
  </si>
  <si>
    <t>sandwell</t>
  </si>
  <si>
    <t>solihull</t>
  </si>
  <si>
    <t>southtyneside</t>
  </si>
  <si>
    <t>stockport</t>
  </si>
  <si>
    <t>tameside</t>
  </si>
  <si>
    <t>walsall</t>
  </si>
  <si>
    <t>wigan</t>
  </si>
  <si>
    <t>wirral</t>
  </si>
  <si>
    <t>wolverhampton</t>
  </si>
  <si>
    <t>hartlepool</t>
  </si>
  <si>
    <t>blackburnwithdarwen</t>
  </si>
  <si>
    <t>derby</t>
  </si>
  <si>
    <t>gosport</t>
  </si>
  <si>
    <t>hastings</t>
  </si>
  <si>
    <t>nuneatonandbedworth</t>
  </si>
  <si>
    <t>burnley</t>
  </si>
  <si>
    <t>carlisle</t>
  </si>
  <si>
    <t>crawley</t>
  </si>
  <si>
    <t>eppingforest</t>
  </si>
  <si>
    <t>lincoln</t>
  </si>
  <si>
    <t>pendle</t>
  </si>
  <si>
    <t>worcester</t>
  </si>
  <si>
    <t>london</t>
  </si>
  <si>
    <t>blaenau</t>
  </si>
  <si>
    <t>wrexham</t>
  </si>
  <si>
    <t>knowsley</t>
  </si>
  <si>
    <t>sefton</t>
  </si>
  <si>
    <t>doncaster</t>
  </si>
  <si>
    <t>sheffield</t>
  </si>
  <si>
    <t>northtyneside</t>
  </si>
  <si>
    <t>calderdale</t>
  </si>
  <si>
    <t>kirklees</t>
  </si>
  <si>
    <t>wakefield</t>
  </si>
  <si>
    <t>nottingham</t>
  </si>
  <si>
    <t>luton</t>
  </si>
  <si>
    <t>southendonsea</t>
  </si>
  <si>
    <t>thurrock</t>
  </si>
  <si>
    <t>middlesbrough</t>
  </si>
  <si>
    <t>cheshirewestandchester</t>
  </si>
  <si>
    <t>warrington</t>
  </si>
  <si>
    <t>medway</t>
  </si>
  <si>
    <t>southampton</t>
  </si>
  <si>
    <t>windsorandmaidenhead</t>
  </si>
  <si>
    <t>bristol</t>
  </si>
  <si>
    <t>poole</t>
  </si>
  <si>
    <t>swindon</t>
  </si>
  <si>
    <t>stokeontrent</t>
  </si>
  <si>
    <t>telfordandwrekin</t>
  </si>
  <si>
    <t>kingstonuponhull</t>
  </si>
  <si>
    <t>york</t>
  </si>
  <si>
    <t>allerdale</t>
  </si>
  <si>
    <t>copeland</t>
  </si>
  <si>
    <t>eden</t>
  </si>
  <si>
    <t>bolsover</t>
  </si>
  <si>
    <t>erewash</t>
  </si>
  <si>
    <t>basildon</t>
  </si>
  <si>
    <t>braintree</t>
  </si>
  <si>
    <t>maldon</t>
  </si>
  <si>
    <t>tendring</t>
  </si>
  <si>
    <t>maidstone</t>
  </si>
  <si>
    <t>blaby</t>
  </si>
  <si>
    <t>charnwood</t>
  </si>
  <si>
    <t>northwestleicestershire</t>
  </si>
  <si>
    <t>eastlindsey</t>
  </si>
  <si>
    <t>southholland</t>
  </si>
  <si>
    <t>corby</t>
  </si>
  <si>
    <t>eastnorthamptonshire</t>
  </si>
  <si>
    <t>kettering</t>
  </si>
  <si>
    <t>northampton</t>
  </si>
  <si>
    <t>wellingborough</t>
  </si>
  <si>
    <t>cannockchase</t>
  </si>
  <si>
    <t>eaststaffordshire</t>
  </si>
  <si>
    <t>stafford</t>
  </si>
  <si>
    <t>arun</t>
  </si>
  <si>
    <t>barkinganddagenham</t>
  </si>
  <si>
    <t>barnet</t>
  </si>
  <si>
    <t>brent</t>
  </si>
  <si>
    <t>camden</t>
  </si>
  <si>
    <t>ealing</t>
  </si>
  <si>
    <t>enfield</t>
  </si>
  <si>
    <t>havering</t>
  </si>
  <si>
    <t>hillingdon</t>
  </si>
  <si>
    <t>hounslow</t>
  </si>
  <si>
    <t>islington</t>
  </si>
  <si>
    <t>redbridge</t>
  </si>
  <si>
    <t>towerhamlets</t>
  </si>
  <si>
    <t>bexley</t>
  </si>
  <si>
    <t>bromley</t>
  </si>
  <si>
    <t>croydon</t>
  </si>
  <si>
    <t>greenwich</t>
  </si>
  <si>
    <t>merton</t>
  </si>
  <si>
    <t>richmonduponthames</t>
  </si>
  <si>
    <t>southwark</t>
  </si>
  <si>
    <t>sutton</t>
  </si>
  <si>
    <t>wandsworth</t>
  </si>
  <si>
    <t>bury</t>
  </si>
  <si>
    <t>oldham</t>
  </si>
  <si>
    <t>rochdale</t>
  </si>
  <si>
    <t>gateshead</t>
  </si>
  <si>
    <t>sunderland</t>
  </si>
  <si>
    <t>calderdal</t>
  </si>
  <si>
    <t>halton</t>
  </si>
  <si>
    <t>miltonkeynes</t>
  </si>
  <si>
    <t>plymouth</t>
  </si>
  <si>
    <t>northeastlincolnshire</t>
  </si>
  <si>
    <t>barrowinfurness</t>
  </si>
  <si>
    <t>exeter</t>
  </si>
  <si>
    <t>colchester</t>
  </si>
  <si>
    <t>rochford</t>
  </si>
  <si>
    <t>basingstokeanddeane</t>
  </si>
  <si>
    <t>broxbourne</t>
  </si>
  <si>
    <t>hertsmere</t>
  </si>
  <si>
    <t>northhertfordshire</t>
  </si>
  <si>
    <t>stalbans</t>
  </si>
  <si>
    <t>stevenage</t>
  </si>
  <si>
    <t>welwynhatfield</t>
  </si>
  <si>
    <t>hyndburn</t>
  </si>
  <si>
    <t>harrogate</t>
  </si>
  <si>
    <t>bassetlaw</t>
  </si>
  <si>
    <t>ipswich</t>
  </si>
  <si>
    <t>reigateandbanstead</t>
  </si>
  <si>
    <t>redditch</t>
  </si>
  <si>
    <t>derbyshire</t>
  </si>
  <si>
    <t>norfolk</t>
  </si>
  <si>
    <t>suffolk</t>
  </si>
  <si>
    <t>cumbria</t>
  </si>
  <si>
    <t>lancashire</t>
  </si>
  <si>
    <t>buckinghamshire</t>
  </si>
  <si>
    <t>eastsussex</t>
  </si>
  <si>
    <t>dorset</t>
  </si>
  <si>
    <t>gloucestershire</t>
  </si>
  <si>
    <t>somerset</t>
  </si>
  <si>
    <t>staffordshire</t>
  </si>
  <si>
    <t>worcestershire</t>
  </si>
  <si>
    <t>northyorkshire</t>
  </si>
  <si>
    <t>beford</t>
  </si>
  <si>
    <t>centralbedfordshire</t>
  </si>
  <si>
    <t>isleofwight</t>
  </si>
  <si>
    <t>cornwall</t>
  </si>
  <si>
    <t>wiltshire</t>
  </si>
  <si>
    <t>account</t>
  </si>
  <si>
    <t>income</t>
  </si>
  <si>
    <t>assets</t>
  </si>
  <si>
    <t>expenditure</t>
  </si>
  <si>
    <t>liabilities</t>
  </si>
  <si>
    <t>DVU Finances</t>
  </si>
  <si>
    <t>ALL DOCS: https://www.bundestag.de/parlament/praesidium/parteienfinanzierung/rechenschaftsberichte/rechenschaftsberichte-202446</t>
  </si>
  <si>
    <t>Reinvermögen (Gesamt-Partei)</t>
  </si>
  <si>
    <t>Überschuß/Defizit</t>
  </si>
  <si>
    <t>Year</t>
  </si>
  <si>
    <t>Reinvermoegen</t>
  </si>
  <si>
    <t>Ueberschuss_Defizit</t>
  </si>
  <si>
    <t>wahlkampfbezogenen Kosten</t>
  </si>
  <si>
    <t>wahlkampfkostenbezogenen Einnahmen/Staatliche Mittel</t>
  </si>
  <si>
    <t>SOURCE-SITE</t>
  </si>
  <si>
    <t>-DEM 1,399,675.45</t>
  </si>
  <si>
    <t>DEM 1,876,853.14</t>
  </si>
  <si>
    <t>DEM 89,539.23</t>
  </si>
  <si>
    <t>https://dip21.bundestag.de/dip21/btd/11/033/1103315.pdf</t>
  </si>
  <si>
    <t>-DEM 3,517,446.73</t>
  </si>
  <si>
    <t>-DEM 2,117,771.28</t>
  </si>
  <si>
    <t>DEM 2,941,944.76</t>
  </si>
  <si>
    <t>DEM 0.00</t>
  </si>
  <si>
    <t>https://dip21.bundestag.de/dip21/btd/11/063/1106303.pdf</t>
  </si>
  <si>
    <t>-DEM 11,518,724.61</t>
  </si>
  <si>
    <t>-DEM 8,001,277.88</t>
  </si>
  <si>
    <t>DEM 14,982,839.62</t>
  </si>
  <si>
    <t>DEM 3,683,193.88</t>
  </si>
  <si>
    <t>https://dip21.bundestag.de/dip21/btd/12/000/1200072.pdf</t>
  </si>
  <si>
    <t>-DEM 11,530,276.63</t>
  </si>
  <si>
    <t>-DEM 11,552.02</t>
  </si>
  <si>
    <t>DEM 1,301,374.63</t>
  </si>
  <si>
    <t>DEM 567,700.75</t>
  </si>
  <si>
    <t>https://dip21.bundestag.de/dip21/btd/12/021/1202165.pdf</t>
  </si>
  <si>
    <t>-DEM 11,282,314.36</t>
  </si>
  <si>
    <t>DEM 247,962.27</t>
  </si>
  <si>
    <t>DEM 1,494,353.43</t>
  </si>
  <si>
    <t>DEM 725,918.38</t>
  </si>
  <si>
    <t>https://dip21.bundestag.de/dip21/btd/12/044/1204475.pdf</t>
  </si>
  <si>
    <t>-DEM 9,312,744.42</t>
  </si>
  <si>
    <t>DEM 1,968,440.64</t>
  </si>
  <si>
    <t>DEM 2,935,737.56</t>
  </si>
  <si>
    <t>DEM 1,497,080.99</t>
  </si>
  <si>
    <t>https://dip21.bundestag.de/dip21/btd/12/068/1206863.pdf</t>
  </si>
  <si>
    <t>-DEM 10,352,780.48</t>
  </si>
  <si>
    <t>-DEM 1,040,036.06</t>
  </si>
  <si>
    <t>DEM 2,802,056.99</t>
  </si>
  <si>
    <t>DEM 908,712.47</t>
  </si>
  <si>
    <t>https://dip21.bundestag.de/dip21/btd/13/001/1300145.pdf</t>
  </si>
  <si>
    <t>-DEM 8,067,330.82</t>
  </si>
  <si>
    <t>DEM 2,285,449.66</t>
  </si>
  <si>
    <t>DEM 245,000.54</t>
  </si>
  <si>
    <t>DEM 1,405,910.10</t>
  </si>
  <si>
    <t>https://dip21.bundestag.de/dip21/btd/13/041/1304163.pdf</t>
  </si>
  <si>
    <t>-DEM 7,645,091.60</t>
  </si>
  <si>
    <t>DEM 422,239.22</t>
  </si>
  <si>
    <t>DEM 1,149,943.05</t>
  </si>
  <si>
    <t>DEM 935,781.08</t>
  </si>
  <si>
    <t>https://dip21.bundestag.de/dip21/btd/13/077/1307785.pdf</t>
  </si>
  <si>
    <t>-DEM 8,199,800.36</t>
  </si>
  <si>
    <t>-DEM 554,708.76</t>
  </si>
  <si>
    <t>DEM 1,624,741.60</t>
  </si>
  <si>
    <t>DEM 699,105.30</t>
  </si>
  <si>
    <t>https://dip21.bundestag.de/dip21/btd/13/100/1310074.pdf</t>
  </si>
  <si>
    <t>-DEM 9,107,638.27</t>
  </si>
  <si>
    <t>-DEM 907,720.68</t>
  </si>
  <si>
    <t>DEM 1,747,639.83</t>
  </si>
  <si>
    <t>DEM 597,318.24</t>
  </si>
  <si>
    <t>https://dip21.bundestag.de/dip21/btd/14/007/1400703.pdf</t>
  </si>
  <si>
    <t>-DEM 11,377,852.28</t>
  </si>
  <si>
    <t>-DEM 2,270,331.24</t>
  </si>
  <si>
    <t>DEM 6,185,098.55</t>
  </si>
  <si>
    <t>DEM 1,622,236.76</t>
  </si>
  <si>
    <t>https://dip21.bundestag.de/dip21/btd/14/035/1403535.pdf</t>
  </si>
  <si>
    <t>-DEM 11,486,292.90</t>
  </si>
  <si>
    <t>-DEM 108,440.62</t>
  </si>
  <si>
    <t>DEM 4,163,518.34</t>
  </si>
  <si>
    <t>DEM 2,131,286.89</t>
  </si>
  <si>
    <t>https://dip21.bundestag.de/dip21/btd/14/057/1405725.pdf</t>
  </si>
  <si>
    <t>-DEM 8,744,534.83</t>
  </si>
  <si>
    <t>DEM 2,741,758.07</t>
  </si>
  <si>
    <t>DEM 28,162.94</t>
  </si>
  <si>
    <t>DEM 1,651,831.40</t>
  </si>
  <si>
    <t>https://dip21.bundestag.de/dip21/btd/14/088/1408836.pdf</t>
  </si>
  <si>
    <t>-DEM 7,457,078.51</t>
  </si>
  <si>
    <t>DEM 1,287,456.32</t>
  </si>
  <si>
    <t>DEM 1,817,031.00</t>
  </si>
  <si>
    <t>DEM 1,978,620.01</t>
  </si>
  <si>
    <t>https://dip21.bundestag.de/dip21/btd/15/027/1502750.pdf</t>
  </si>
  <si>
    <t>https://dip21.bundestag.de/dip21/btd/15/046/1504630.pdf</t>
  </si>
  <si>
    <t>https://dip21.bundestag.de/dip21/btd/15/055/1505551.pdf</t>
  </si>
  <si>
    <t>https://dip21.bundestag.de/dip21/btd/16/012/1601271.pdf</t>
  </si>
  <si>
    <t>https://dip21.bundestag.de/dip21/btd/16/052/1605230.pdf</t>
  </si>
  <si>
    <t>https://dip21.bundestag.de/dip21/btd/16/084/1608401.pdf</t>
  </si>
  <si>
    <t>https://dip21.bundestag.de/dip21/btd/16/125/1612551.pdf</t>
  </si>
  <si>
    <t>https://dip21.bundestag.de/dip21/btd/17/008/1700870.pdf</t>
  </si>
  <si>
    <t>https://dip21.bundestag.de/dip21/btd/17/048/1704801.pdf</t>
  </si>
  <si>
    <t>Reinvermoegen_DM</t>
  </si>
  <si>
    <t>Reinvermoegen_E</t>
  </si>
  <si>
    <t>Ueberschuss_Defizit_DM</t>
  </si>
  <si>
    <t>Ueberschuss_Defizit_E</t>
  </si>
  <si>
    <t>Kameradenkreis der Gebirgstruppe</t>
  </si>
  <si>
    <t>English Defence League</t>
  </si>
  <si>
    <t>Junge Nationaldemokraten</t>
  </si>
  <si>
    <t>NPD, Die Rechte, III. Weg</t>
  </si>
  <si>
    <t>Alternative für Deutschland</t>
  </si>
  <si>
    <t>Junge Landsmannschaft Ostdeutschland, NPD</t>
  </si>
  <si>
    <t>Members</t>
  </si>
  <si>
    <t>Organisation</t>
  </si>
  <si>
    <t>Neonazis</t>
  </si>
  <si>
    <t>Total Far-right potential</t>
  </si>
  <si>
    <t>(Rechtsextremismuspotenzial)</t>
  </si>
  <si>
    <t>Number</t>
  </si>
  <si>
    <t>Offence</t>
  </si>
  <si>
    <t>Verbotsgesetz</t>
  </si>
  <si>
    <t>Abzeichengesetz</t>
  </si>
  <si>
    <t>§283 StGB (Verhetzung)</t>
  </si>
  <si>
    <t>sonstigen Delikten</t>
  </si>
  <si>
    <t>Art. III/IX Abs. 1 Z 3-4 EGVG</t>
  </si>
  <si>
    <t>2020 stats from: https://www.parlament.gv.at/PAKT/VHG/XXVII/J/J_04895/index.shtml</t>
  </si>
  <si>
    <t>Homicides (Tötungsdelikte)</t>
  </si>
  <si>
    <t>Arson (Brandanschläge)</t>
  </si>
  <si>
    <t>Injury (Körperverletzungen)</t>
  </si>
  <si>
    <t>Forceful property damage (Sachbeschädigungen mit erheblicher Gewaltanwendung)</t>
  </si>
  <si>
    <t>Threats (Gewaltandrohungen)</t>
  </si>
  <si>
    <t>Other offences (Andere Straftaten, insbesondere Volksverhetzung)</t>
  </si>
  <si>
    <t>Propaganda offences (Propagandadelikte)</t>
  </si>
  <si>
    <t>land</t>
  </si>
  <si>
    <t>proportion</t>
  </si>
  <si>
    <t>Burgenland</t>
  </si>
  <si>
    <t>Kärnten</t>
  </si>
  <si>
    <t>Niederösterreich</t>
  </si>
  <si>
    <t>Oberösterreich</t>
  </si>
  <si>
    <t>Salzburg</t>
  </si>
  <si>
    <t>Steiermark</t>
  </si>
  <si>
    <t>Tirol</t>
  </si>
  <si>
    <t>Vorarlberg</t>
  </si>
  <si>
    <t>Baden-Württemberg</t>
  </si>
  <si>
    <t>Bayern</t>
  </si>
  <si>
    <t>Brandenburg</t>
  </si>
  <si>
    <t>Bremen</t>
  </si>
  <si>
    <t>Hessen</t>
  </si>
  <si>
    <t>Mecklenburg-Vorpommern</t>
  </si>
  <si>
    <t>Niedersachsen</t>
  </si>
  <si>
    <t>Nordrhein-Westfalen</t>
  </si>
  <si>
    <t>Rheinland-Pfalz</t>
  </si>
  <si>
    <t>Saarland</t>
  </si>
  <si>
    <t>Sachsen-Anhalt</t>
  </si>
  <si>
    <t>Schleswig-Holstein</t>
  </si>
  <si>
    <t>Thüringen</t>
  </si>
  <si>
    <t>Racist_incidents</t>
  </si>
  <si>
    <t>No. persons in custody for terrorism offences, with extreme right ideology (England and Wales)</t>
  </si>
  <si>
    <t>data sources</t>
  </si>
  <si>
    <t>2021 stats from: https://www.parlament.gv.at/dokument/XXVII/AB/9330/imfname_1432449.pdf</t>
  </si>
  <si>
    <t>2022 stats from: https://www.parlament.gv.at/dokument/XXVII/AB/13094/imfname_1543389.pdf</t>
  </si>
  <si>
    <t>2023 stats from: https://www.parlament.gv.at/dokument/XXVII/AB/16942/imfname_1616349.pdf</t>
  </si>
  <si>
    <t>DVU Congress</t>
  </si>
  <si>
    <t>Festival of the Peoples</t>
  </si>
  <si>
    <t>FreeSpirit</t>
  </si>
  <si>
    <t>1. Hess Memorial March</t>
  </si>
  <si>
    <t>2. Hess Memorial March</t>
  </si>
  <si>
    <t>LEGIDA</t>
  </si>
  <si>
    <t>Schneeberg Torch Run</t>
  </si>
  <si>
    <t>Linz Fraternity Ball</t>
  </si>
  <si>
    <t>Mittenwald Mountain Infantry Pentecost</t>
  </si>
  <si>
    <t>REP Ash Wednesday Rally</t>
  </si>
  <si>
    <t>SaxonyDay</t>
  </si>
  <si>
    <t>Day of German Future</t>
  </si>
  <si>
    <t>Ulrichsberg Celebration</t>
  </si>
  <si>
    <t>Vienna Academic Ball</t>
  </si>
  <si>
    <t>Vienna Korporations Ball</t>
  </si>
  <si>
    <t>Freital Stands Up</t>
  </si>
  <si>
    <t>Heidenau Listens</t>
  </si>
  <si>
    <t>Einsiedel Says No</t>
  </si>
  <si>
    <t>DFLA Campaign</t>
  </si>
  <si>
    <t>FLA Against Extremism</t>
  </si>
  <si>
    <t>For Germany - Merkel Must Go</t>
  </si>
  <si>
    <t>March for Life</t>
  </si>
  <si>
    <t>Stop the Migration Pact</t>
  </si>
  <si>
    <t>Eichsfeld Homeland Day</t>
  </si>
  <si>
    <t>Bad Nenndorf Memorial March</t>
  </si>
  <si>
    <t>Magdeburg Memorial March</t>
  </si>
  <si>
    <t>1. Dresden Memorial March</t>
  </si>
  <si>
    <t>2. Dresden Memorial March</t>
  </si>
  <si>
    <t>Dresden Memorial March</t>
  </si>
  <si>
    <t>AN Anti-War Day</t>
  </si>
  <si>
    <t>Press Festival of Deutsche Stimme</t>
  </si>
  <si>
    <t>BNP Red, White and Blue Festival</t>
  </si>
  <si>
    <t>1. Anti-Wehrmacht Exhibition</t>
  </si>
  <si>
    <t>2. Anti-Wehrmacht Exhibition</t>
  </si>
  <si>
    <t>EDL Rally</t>
  </si>
  <si>
    <t>1. Waffen-SS Commemoration</t>
  </si>
  <si>
    <t>2. Waffen-SS Commemoration</t>
  </si>
  <si>
    <t>Counter-demonstration present at two or more campaign events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</si>
</sst>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yyyy\-mm\-dd;@"/>
    <numFmt numFmtId="165" formatCode="[$DEM]\ #,##0.00;[Red]\-[$DEM]\ #,##0.00"/>
    <numFmt numFmtId="166" formatCode="[$DEM]\ #,##0.00"/>
    <numFmt numFmtId="167" formatCode="#,##0.00\ [$€-407];[Red]\-#,##0.00\ [$€-407]"/>
    <numFmt numFmtId="168" formatCode="0.0000"/>
  </numFmts>
  <fonts count="25" x14ac:knownFonts="1">
    <font>
      <sz val="12"/>
      <color theme="1"/>
      <name val="Calibri"/>
      <family val="2"/>
      <charset val="204"/>
      <scheme val="minor"/>
    </font>
    <font>
      <u/>
      <sz val="12"/>
      <color theme="10"/>
      <name val="Calibri"/>
      <family val="2"/>
      <charset val="204"/>
      <scheme val="minor"/>
    </font>
    <font>
      <u/>
      <sz val="12"/>
      <color theme="11"/>
      <name val="Calibri"/>
      <family val="2"/>
      <charset val="204"/>
      <scheme val="minor"/>
    </font>
    <font>
      <sz val="12"/>
      <color rgb="FF000000"/>
      <name val="Calibri"/>
      <family val="2"/>
      <charset val="204"/>
      <scheme val="minor"/>
    </font>
    <font>
      <b/>
      <sz val="9"/>
      <color indexed="81"/>
      <name val="Calibri"/>
      <family val="2"/>
      <charset val="204"/>
    </font>
    <font>
      <b/>
      <sz val="12"/>
      <color theme="1"/>
      <name val="Calibri"/>
      <family val="2"/>
      <charset val="204"/>
      <scheme val="minor"/>
    </font>
    <font>
      <i/>
      <sz val="12"/>
      <color theme="1"/>
      <name val="Calibri"/>
      <family val="2"/>
      <scheme val="minor"/>
    </font>
    <font>
      <sz val="11"/>
      <color rgb="FF000000"/>
      <name val="Calibri"/>
      <family val="2"/>
      <scheme val="minor"/>
    </font>
    <font>
      <b/>
      <sz val="12"/>
      <color rgb="FF000000"/>
      <name val="Calibri"/>
      <family val="2"/>
      <charset val="204"/>
      <scheme val="minor"/>
    </font>
    <font>
      <b/>
      <sz val="11"/>
      <color indexed="81"/>
      <name val="Calibri"/>
      <family val="2"/>
    </font>
    <font>
      <sz val="9"/>
      <color indexed="81"/>
      <name val="Calibri"/>
      <family val="2"/>
      <charset val="204"/>
    </font>
    <font>
      <b/>
      <u/>
      <sz val="9"/>
      <color indexed="81"/>
      <name val="Calibri"/>
      <family val="2"/>
    </font>
    <font>
      <b/>
      <sz val="9"/>
      <color rgb="FF000000"/>
      <name val="Calibri"/>
      <family val="2"/>
      <charset val="204"/>
    </font>
    <font>
      <sz val="9"/>
      <color rgb="FF000000"/>
      <name val="Calibri"/>
      <family val="2"/>
      <charset val="204"/>
    </font>
    <font>
      <sz val="10"/>
      <color rgb="FF000000"/>
      <name val="Tahoma"/>
      <family val="2"/>
    </font>
    <font>
      <b/>
      <sz val="10"/>
      <color rgb="FF000000"/>
      <name val="Tahoma"/>
      <family val="2"/>
    </font>
    <font>
      <b/>
      <sz val="11"/>
      <color rgb="FF000000"/>
      <name val="Calibri"/>
      <family val="2"/>
    </font>
    <font>
      <sz val="12"/>
      <color rgb="FF000000"/>
      <name val="Calibri"/>
      <family val="2"/>
      <scheme val="minor"/>
    </font>
    <font>
      <sz val="10"/>
      <color rgb="FF000000"/>
      <name val="Calibri"/>
      <family val="2"/>
      <scheme val="minor"/>
    </font>
    <font>
      <sz val="12"/>
      <color rgb="FF000000"/>
      <name val="Aptos Narrow"/>
      <family val="2"/>
    </font>
    <font>
      <sz val="10"/>
      <color rgb="FF000000"/>
      <name val="Calibri"/>
      <family val="2"/>
    </font>
    <font>
      <b/>
      <sz val="10"/>
      <color rgb="FF000000"/>
      <name val="Calibri"/>
      <family val="2"/>
    </font>
    <font>
      <sz val="12"/>
      <color rgb="FF3F3F76"/>
      <name val="Calibri"/>
      <family val="2"/>
      <scheme val="minor"/>
    </font>
    <font>
      <sz val="12"/>
      <color rgb="FF3F3F76"/>
      <name val="Calibri"/>
      <family val="2"/>
    </font>
    <font>
      <b/>
      <u/>
      <sz val="9"/>
      <color rgb="FF000000"/>
      <name val="Calibri"/>
      <family val="2"/>
    </font>
  </fonts>
  <fills count="2">
    <fill>
      <patternFill patternType="none"/>
    </fill>
    <fill>
      <patternFill patternType="gray125"/>
    </fill>
  </fills>
  <borders count="1">
    <border>
      <left/>
      <right/>
      <top/>
      <bottom/>
      <diagonal/>
    </border>
  </borders>
  <cellStyleXfs count="457">
    <xf numFmtId="0" fontId="0" fillId="0" borderId="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cellStyleXfs>
  <cellXfs count="23">
    <xf numFmtId="0" fontId="0" fillId="0" borderId="0" xfId="0"/>
    <xf numFmtId="0" fontId="0" fillId="0" borderId="0" xfId="0" applyAlignment="1">
      <alignment wrapText="1"/>
    </xf>
    <xf numFmtId="0" fontId="3" fillId="0" borderId="0" xfId="0" applyFont="1"/>
    <xf numFmtId="0" fontId="1" fillId="0" borderId="0" xfId="33"/>
    <xf numFmtId="2" fontId="3" fillId="0" borderId="0" xfId="0" applyNumberFormat="1" applyFont="1"/>
    <xf numFmtId="165" fontId="3" fillId="0" borderId="0" xfId="0" applyNumberFormat="1" applyFont="1"/>
    <xf numFmtId="166" fontId="3" fillId="0" borderId="0" xfId="0" applyNumberFormat="1" applyFont="1"/>
    <xf numFmtId="167" fontId="3" fillId="0" borderId="0" xfId="0" applyNumberFormat="1" applyFont="1"/>
    <xf numFmtId="2" fontId="0" fillId="0" borderId="0" xfId="0" applyNumberFormat="1"/>
    <xf numFmtId="168" fontId="0" fillId="0" borderId="0" xfId="0" applyNumberFormat="1"/>
    <xf numFmtId="168" fontId="3" fillId="0" borderId="0" xfId="0" applyNumberFormat="1" applyFont="1"/>
    <xf numFmtId="49" fontId="0" fillId="0" borderId="0" xfId="0" applyNumberFormat="1"/>
    <xf numFmtId="0" fontId="5" fillId="0" borderId="0" xfId="0" applyFont="1"/>
    <xf numFmtId="0" fontId="8" fillId="0" borderId="0" xfId="0" applyFont="1"/>
    <xf numFmtId="0" fontId="6" fillId="0" borderId="0" xfId="0" applyFont="1"/>
    <xf numFmtId="164" fontId="0" fillId="0" borderId="0" xfId="0" applyNumberFormat="1"/>
    <xf numFmtId="0" fontId="7" fillId="0" borderId="0" xfId="0" applyFont="1"/>
    <xf numFmtId="0" fontId="17" fillId="0" borderId="0" xfId="0" applyFont="1"/>
    <xf numFmtId="0" fontId="19" fillId="0" borderId="0" xfId="0" applyFont="1"/>
    <xf numFmtId="164" fontId="3" fillId="0" borderId="0" xfId="0" applyNumberFormat="1" applyFont="1"/>
    <xf numFmtId="0" fontId="0" fillId="0" borderId="0" xfId="0" applyFill="1"/>
    <xf numFmtId="0" fontId="0" fillId="0" borderId="0" xfId="0" applyFill="1" applyAlignment="1">
      <alignment wrapText="1"/>
    </xf>
    <xf numFmtId="0" fontId="5" fillId="0" borderId="0" xfId="0" applyFont="1" applyFill="1"/>
  </cellXfs>
  <cellStyles count="457">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5" builtinId="9" hidden="1"/>
    <cellStyle name="Followed Hyperlink" xfId="36" builtinId="9" hidden="1"/>
    <cellStyle name="Followed Hyperlink" xfId="37" builtinId="9" hidden="1"/>
    <cellStyle name="Followed Hyperlink" xfId="38" builtinId="9" hidden="1"/>
    <cellStyle name="Followed Hyperlink" xfId="39" builtinId="9" hidden="1"/>
    <cellStyle name="Followed Hyperlink" xfId="40" builtinId="9" hidden="1"/>
    <cellStyle name="Followed Hyperlink" xfId="41" builtinId="9" hidden="1"/>
    <cellStyle name="Followed Hyperlink" xfId="42" builtinId="9" hidden="1"/>
    <cellStyle name="Followed Hyperlink" xfId="43" builtinId="9" hidden="1"/>
    <cellStyle name="Followed Hyperlink" xfId="44" builtinId="9" hidden="1"/>
    <cellStyle name="Followed Hyperlink" xfId="45" builtinId="9" hidden="1"/>
    <cellStyle name="Followed Hyperlink" xfId="46" builtinId="9" hidden="1"/>
    <cellStyle name="Followed Hyperlink" xfId="47" builtinId="9" hidden="1"/>
    <cellStyle name="Followed Hyperlink" xfId="48" builtinId="9" hidden="1"/>
    <cellStyle name="Followed Hyperlink" xfId="49" builtinId="9" hidden="1"/>
    <cellStyle name="Followed Hyperlink" xfId="50" builtinId="9" hidden="1"/>
    <cellStyle name="Followed Hyperlink" xfId="51" builtinId="9" hidden="1"/>
    <cellStyle name="Followed Hyperlink" xfId="52" builtinId="9" hidden="1"/>
    <cellStyle name="Followed Hyperlink" xfId="53" builtinId="9" hidden="1"/>
    <cellStyle name="Followed Hyperlink" xfId="54" builtinId="9" hidden="1"/>
    <cellStyle name="Followed Hyperlink" xfId="55" builtinId="9" hidden="1"/>
    <cellStyle name="Followed Hyperlink" xfId="56" builtinId="9" hidden="1"/>
    <cellStyle name="Followed Hyperlink" xfId="57" builtinId="9" hidden="1"/>
    <cellStyle name="Followed Hyperlink" xfId="58" builtinId="9" hidden="1"/>
    <cellStyle name="Followed Hyperlink" xfId="59" builtinId="9" hidden="1"/>
    <cellStyle name="Followed Hyperlink" xfId="60" builtinId="9" hidden="1"/>
    <cellStyle name="Followed Hyperlink" xfId="61" builtinId="9" hidden="1"/>
    <cellStyle name="Followed Hyperlink" xfId="62" builtinId="9" hidden="1"/>
    <cellStyle name="Followed Hyperlink" xfId="63" builtinId="9" hidden="1"/>
    <cellStyle name="Followed Hyperlink" xfId="64" builtinId="9" hidden="1"/>
    <cellStyle name="Followed Hyperlink" xfId="65" builtinId="9" hidden="1"/>
    <cellStyle name="Followed Hyperlink" xfId="66" builtinId="9" hidden="1"/>
    <cellStyle name="Followed Hyperlink" xfId="67" builtinId="9" hidden="1"/>
    <cellStyle name="Followed Hyperlink" xfId="68" builtinId="9" hidden="1"/>
    <cellStyle name="Followed Hyperlink" xfId="69" builtinId="9" hidden="1"/>
    <cellStyle name="Followed Hyperlink" xfId="70" builtinId="9" hidden="1"/>
    <cellStyle name="Followed Hyperlink" xfId="71" builtinId="9" hidden="1"/>
    <cellStyle name="Followed Hyperlink" xfId="72" builtinId="9" hidden="1"/>
    <cellStyle name="Followed Hyperlink" xfId="73" builtinId="9" hidden="1"/>
    <cellStyle name="Followed Hyperlink" xfId="74" builtinId="9" hidden="1"/>
    <cellStyle name="Followed Hyperlink" xfId="75" builtinId="9" hidden="1"/>
    <cellStyle name="Followed Hyperlink" xfId="76" builtinId="9" hidden="1"/>
    <cellStyle name="Followed Hyperlink" xfId="77" builtinId="9" hidden="1"/>
    <cellStyle name="Followed Hyperlink" xfId="78" builtinId="9" hidden="1"/>
    <cellStyle name="Followed Hyperlink" xfId="79" builtinId="9" hidden="1"/>
    <cellStyle name="Followed Hyperlink" xfId="80" builtinId="9" hidden="1"/>
    <cellStyle name="Followed Hyperlink" xfId="81" builtinId="9" hidden="1"/>
    <cellStyle name="Followed Hyperlink" xfId="82" builtinId="9" hidden="1"/>
    <cellStyle name="Followed Hyperlink" xfId="83" builtinId="9" hidden="1"/>
    <cellStyle name="Followed Hyperlink" xfId="84" builtinId="9" hidden="1"/>
    <cellStyle name="Followed Hyperlink" xfId="85" builtinId="9" hidden="1"/>
    <cellStyle name="Followed Hyperlink" xfId="86" builtinId="9" hidden="1"/>
    <cellStyle name="Followed Hyperlink" xfId="87" builtinId="9" hidden="1"/>
    <cellStyle name="Followed Hyperlink" xfId="88" builtinId="9" hidden="1"/>
    <cellStyle name="Followed Hyperlink" xfId="89" builtinId="9" hidden="1"/>
    <cellStyle name="Followed Hyperlink" xfId="90" builtinId="9" hidden="1"/>
    <cellStyle name="Followed Hyperlink" xfId="91" builtinId="9" hidden="1"/>
    <cellStyle name="Followed Hyperlink" xfId="92" builtinId="9" hidden="1"/>
    <cellStyle name="Followed Hyperlink" xfId="93" builtinId="9" hidden="1"/>
    <cellStyle name="Followed Hyperlink" xfId="94" builtinId="9" hidden="1"/>
    <cellStyle name="Followed Hyperlink" xfId="95" builtinId="9" hidden="1"/>
    <cellStyle name="Followed Hyperlink" xfId="96" builtinId="9" hidden="1"/>
    <cellStyle name="Followed Hyperlink" xfId="97" builtinId="9" hidden="1"/>
    <cellStyle name="Followed Hyperlink" xfId="98" builtinId="9" hidden="1"/>
    <cellStyle name="Followed Hyperlink" xfId="99" builtinId="9" hidden="1"/>
    <cellStyle name="Followed Hyperlink" xfId="100" builtinId="9" hidden="1"/>
    <cellStyle name="Followed Hyperlink" xfId="101" builtinId="9" hidden="1"/>
    <cellStyle name="Followed Hyperlink" xfId="102" builtinId="9" hidden="1"/>
    <cellStyle name="Followed Hyperlink" xfId="103" builtinId="9" hidden="1"/>
    <cellStyle name="Followed Hyperlink" xfId="104" builtinId="9" hidden="1"/>
    <cellStyle name="Followed Hyperlink" xfId="105" builtinId="9" hidden="1"/>
    <cellStyle name="Followed Hyperlink" xfId="106" builtinId="9" hidden="1"/>
    <cellStyle name="Followed Hyperlink" xfId="107" builtinId="9" hidden="1"/>
    <cellStyle name="Followed Hyperlink" xfId="108" builtinId="9" hidden="1"/>
    <cellStyle name="Followed Hyperlink" xfId="109" builtinId="9" hidden="1"/>
    <cellStyle name="Followed Hyperlink" xfId="110" builtinId="9" hidden="1"/>
    <cellStyle name="Followed Hyperlink" xfId="111" builtinId="9" hidden="1"/>
    <cellStyle name="Followed Hyperlink" xfId="112" builtinId="9" hidden="1"/>
    <cellStyle name="Followed Hyperlink" xfId="113" builtinId="9" hidden="1"/>
    <cellStyle name="Followed Hyperlink" xfId="114" builtinId="9" hidden="1"/>
    <cellStyle name="Followed Hyperlink" xfId="115" builtinId="9" hidden="1"/>
    <cellStyle name="Followed Hyperlink" xfId="116" builtinId="9" hidden="1"/>
    <cellStyle name="Followed Hyperlink" xfId="117" builtinId="9" hidden="1"/>
    <cellStyle name="Followed Hyperlink" xfId="118" builtinId="9" hidden="1"/>
    <cellStyle name="Followed Hyperlink" xfId="119" builtinId="9" hidden="1"/>
    <cellStyle name="Followed Hyperlink" xfId="120" builtinId="9" hidden="1"/>
    <cellStyle name="Followed Hyperlink" xfId="121" builtinId="9" hidden="1"/>
    <cellStyle name="Followed Hyperlink" xfId="122" builtinId="9" hidden="1"/>
    <cellStyle name="Followed Hyperlink" xfId="123" builtinId="9" hidden="1"/>
    <cellStyle name="Followed Hyperlink" xfId="124" builtinId="9" hidden="1"/>
    <cellStyle name="Followed Hyperlink" xfId="125" builtinId="9" hidden="1"/>
    <cellStyle name="Followed Hyperlink" xfId="126" builtinId="9" hidden="1"/>
    <cellStyle name="Followed Hyperlink" xfId="127" builtinId="9" hidden="1"/>
    <cellStyle name="Followed Hyperlink" xfId="128" builtinId="9" hidden="1"/>
    <cellStyle name="Followed Hyperlink" xfId="129" builtinId="9" hidden="1"/>
    <cellStyle name="Followed Hyperlink" xfId="130" builtinId="9" hidden="1"/>
    <cellStyle name="Followed Hyperlink" xfId="131" builtinId="9" hidden="1"/>
    <cellStyle name="Followed Hyperlink" xfId="132" builtinId="9" hidden="1"/>
    <cellStyle name="Followed Hyperlink" xfId="133" builtinId="9" hidden="1"/>
    <cellStyle name="Followed Hyperlink" xfId="134" builtinId="9" hidden="1"/>
    <cellStyle name="Followed Hyperlink" xfId="135" builtinId="9" hidden="1"/>
    <cellStyle name="Followed Hyperlink" xfId="136" builtinId="9" hidden="1"/>
    <cellStyle name="Followed Hyperlink" xfId="137" builtinId="9" hidden="1"/>
    <cellStyle name="Followed Hyperlink" xfId="138" builtinId="9" hidden="1"/>
    <cellStyle name="Followed Hyperlink" xfId="139" builtinId="9" hidden="1"/>
    <cellStyle name="Followed Hyperlink" xfId="140" builtinId="9" hidden="1"/>
    <cellStyle name="Followed Hyperlink" xfId="141" builtinId="9" hidden="1"/>
    <cellStyle name="Followed Hyperlink" xfId="142" builtinId="9" hidden="1"/>
    <cellStyle name="Followed Hyperlink" xfId="143" builtinId="9" hidden="1"/>
    <cellStyle name="Followed Hyperlink" xfId="144" builtinId="9" hidden="1"/>
    <cellStyle name="Followed Hyperlink" xfId="145" builtinId="9" hidden="1"/>
    <cellStyle name="Followed Hyperlink" xfId="146" builtinId="9" hidden="1"/>
    <cellStyle name="Followed Hyperlink" xfId="147" builtinId="9" hidden="1"/>
    <cellStyle name="Followed Hyperlink" xfId="148" builtinId="9" hidden="1"/>
    <cellStyle name="Followed Hyperlink" xfId="149" builtinId="9" hidden="1"/>
    <cellStyle name="Followed Hyperlink" xfId="150" builtinId="9" hidden="1"/>
    <cellStyle name="Followed Hyperlink" xfId="151" builtinId="9" hidden="1"/>
    <cellStyle name="Followed Hyperlink" xfId="152" builtinId="9" hidden="1"/>
    <cellStyle name="Followed Hyperlink" xfId="153" builtinId="9" hidden="1"/>
    <cellStyle name="Followed Hyperlink" xfId="154" builtinId="9" hidden="1"/>
    <cellStyle name="Followed Hyperlink" xfId="155" builtinId="9" hidden="1"/>
    <cellStyle name="Followed Hyperlink" xfId="156" builtinId="9" hidden="1"/>
    <cellStyle name="Followed Hyperlink" xfId="157" builtinId="9" hidden="1"/>
    <cellStyle name="Followed Hyperlink" xfId="158" builtinId="9" hidden="1"/>
    <cellStyle name="Followed Hyperlink" xfId="159" builtinId="9" hidden="1"/>
    <cellStyle name="Followed Hyperlink" xfId="160" builtinId="9" hidden="1"/>
    <cellStyle name="Followed Hyperlink" xfId="161" builtinId="9" hidden="1"/>
    <cellStyle name="Followed Hyperlink" xfId="162" builtinId="9" hidden="1"/>
    <cellStyle name="Followed Hyperlink" xfId="163" builtinId="9" hidden="1"/>
    <cellStyle name="Followed Hyperlink" xfId="164" builtinId="9" hidden="1"/>
    <cellStyle name="Followed Hyperlink" xfId="165" builtinId="9" hidden="1"/>
    <cellStyle name="Followed Hyperlink" xfId="166" builtinId="9" hidden="1"/>
    <cellStyle name="Followed Hyperlink" xfId="167" builtinId="9" hidden="1"/>
    <cellStyle name="Followed Hyperlink" xfId="168" builtinId="9" hidden="1"/>
    <cellStyle name="Followed Hyperlink" xfId="169" builtinId="9" hidden="1"/>
    <cellStyle name="Followed Hyperlink" xfId="170" builtinId="9" hidden="1"/>
    <cellStyle name="Followed Hyperlink" xfId="171" builtinId="9" hidden="1"/>
    <cellStyle name="Followed Hyperlink" xfId="172" builtinId="9" hidden="1"/>
    <cellStyle name="Followed Hyperlink" xfId="173" builtinId="9" hidden="1"/>
    <cellStyle name="Followed Hyperlink" xfId="174" builtinId="9" hidden="1"/>
    <cellStyle name="Followed Hyperlink" xfId="175" builtinId="9" hidden="1"/>
    <cellStyle name="Followed Hyperlink" xfId="176" builtinId="9" hidden="1"/>
    <cellStyle name="Followed Hyperlink" xfId="177" builtinId="9" hidden="1"/>
    <cellStyle name="Followed Hyperlink" xfId="178" builtinId="9" hidden="1"/>
    <cellStyle name="Followed Hyperlink" xfId="179" builtinId="9" hidden="1"/>
    <cellStyle name="Followed Hyperlink" xfId="180" builtinId="9" hidden="1"/>
    <cellStyle name="Followed Hyperlink" xfId="181" builtinId="9" hidden="1"/>
    <cellStyle name="Followed Hyperlink" xfId="182" builtinId="9" hidden="1"/>
    <cellStyle name="Followed Hyperlink" xfId="183" builtinId="9" hidden="1"/>
    <cellStyle name="Followed Hyperlink" xfId="184" builtinId="9" hidden="1"/>
    <cellStyle name="Followed Hyperlink" xfId="185" builtinId="9" hidden="1"/>
    <cellStyle name="Followed Hyperlink" xfId="186" builtinId="9" hidden="1"/>
    <cellStyle name="Followed Hyperlink" xfId="187" builtinId="9" hidden="1"/>
    <cellStyle name="Followed Hyperlink" xfId="188" builtinId="9" hidden="1"/>
    <cellStyle name="Followed Hyperlink" xfId="189" builtinId="9" hidden="1"/>
    <cellStyle name="Followed Hyperlink" xfId="190" builtinId="9" hidden="1"/>
    <cellStyle name="Followed Hyperlink" xfId="191" builtinId="9" hidden="1"/>
    <cellStyle name="Followed Hyperlink" xfId="192" builtinId="9" hidden="1"/>
    <cellStyle name="Followed Hyperlink" xfId="193" builtinId="9" hidden="1"/>
    <cellStyle name="Followed Hyperlink" xfId="194" builtinId="9" hidden="1"/>
    <cellStyle name="Followed Hyperlink" xfId="195" builtinId="9" hidden="1"/>
    <cellStyle name="Followed Hyperlink" xfId="196" builtinId="9" hidden="1"/>
    <cellStyle name="Followed Hyperlink" xfId="197" builtinId="9" hidden="1"/>
    <cellStyle name="Followed Hyperlink" xfId="198" builtinId="9" hidden="1"/>
    <cellStyle name="Followed Hyperlink" xfId="199" builtinId="9" hidden="1"/>
    <cellStyle name="Followed Hyperlink" xfId="200" builtinId="9" hidden="1"/>
    <cellStyle name="Followed Hyperlink" xfId="201" builtinId="9" hidden="1"/>
    <cellStyle name="Followed Hyperlink" xfId="202" builtinId="9" hidden="1"/>
    <cellStyle name="Followed Hyperlink" xfId="203" builtinId="9" hidden="1"/>
    <cellStyle name="Followed Hyperlink" xfId="204" builtinId="9" hidden="1"/>
    <cellStyle name="Followed Hyperlink" xfId="205" builtinId="9" hidden="1"/>
    <cellStyle name="Followed Hyperlink" xfId="206" builtinId="9" hidden="1"/>
    <cellStyle name="Followed Hyperlink" xfId="207" builtinId="9" hidden="1"/>
    <cellStyle name="Followed Hyperlink" xfId="208" builtinId="9" hidden="1"/>
    <cellStyle name="Followed Hyperlink" xfId="209" builtinId="9" hidden="1"/>
    <cellStyle name="Followed Hyperlink" xfId="210" builtinId="9" hidden="1"/>
    <cellStyle name="Followed Hyperlink" xfId="211" builtinId="9" hidden="1"/>
    <cellStyle name="Followed Hyperlink" xfId="212" builtinId="9" hidden="1"/>
    <cellStyle name="Followed Hyperlink" xfId="213" builtinId="9" hidden="1"/>
    <cellStyle name="Followed Hyperlink" xfId="214" builtinId="9" hidden="1"/>
    <cellStyle name="Followed Hyperlink" xfId="215" builtinId="9" hidden="1"/>
    <cellStyle name="Followed Hyperlink" xfId="216" builtinId="9" hidden="1"/>
    <cellStyle name="Followed Hyperlink" xfId="217" builtinId="9" hidden="1"/>
    <cellStyle name="Followed Hyperlink" xfId="218" builtinId="9" hidden="1"/>
    <cellStyle name="Followed Hyperlink" xfId="219" builtinId="9" hidden="1"/>
    <cellStyle name="Followed Hyperlink" xfId="220" builtinId="9" hidden="1"/>
    <cellStyle name="Followed Hyperlink" xfId="221" builtinId="9" hidden="1"/>
    <cellStyle name="Followed Hyperlink" xfId="222" builtinId="9" hidden="1"/>
    <cellStyle name="Followed Hyperlink" xfId="223" builtinId="9" hidden="1"/>
    <cellStyle name="Followed Hyperlink" xfId="224" builtinId="9" hidden="1"/>
    <cellStyle name="Followed Hyperlink" xfId="225" builtinId="9" hidden="1"/>
    <cellStyle name="Followed Hyperlink" xfId="226" builtinId="9" hidden="1"/>
    <cellStyle name="Followed Hyperlink" xfId="227" builtinId="9" hidden="1"/>
    <cellStyle name="Followed Hyperlink" xfId="228" builtinId="9" hidden="1"/>
    <cellStyle name="Followed Hyperlink" xfId="229" builtinId="9" hidden="1"/>
    <cellStyle name="Followed Hyperlink" xfId="230" builtinId="9" hidden="1"/>
    <cellStyle name="Followed Hyperlink" xfId="231" builtinId="9" hidden="1"/>
    <cellStyle name="Followed Hyperlink" xfId="232" builtinId="9" hidden="1"/>
    <cellStyle name="Followed Hyperlink" xfId="233" builtinId="9" hidden="1"/>
    <cellStyle name="Followed Hyperlink" xfId="234" builtinId="9" hidden="1"/>
    <cellStyle name="Followed Hyperlink" xfId="235" builtinId="9" hidden="1"/>
    <cellStyle name="Followed Hyperlink" xfId="236" builtinId="9" hidden="1"/>
    <cellStyle name="Followed Hyperlink" xfId="237" builtinId="9" hidden="1"/>
    <cellStyle name="Followed Hyperlink" xfId="238" builtinId="9" hidden="1"/>
    <cellStyle name="Followed Hyperlink" xfId="239" builtinId="9" hidden="1"/>
    <cellStyle name="Followed Hyperlink" xfId="240" builtinId="9" hidden="1"/>
    <cellStyle name="Followed Hyperlink" xfId="241" builtinId="9" hidden="1"/>
    <cellStyle name="Followed Hyperlink" xfId="242" builtinId="9" hidden="1"/>
    <cellStyle name="Followed Hyperlink" xfId="243" builtinId="9" hidden="1"/>
    <cellStyle name="Followed Hyperlink" xfId="244" builtinId="9" hidden="1"/>
    <cellStyle name="Followed Hyperlink" xfId="245" builtinId="9" hidden="1"/>
    <cellStyle name="Followed Hyperlink" xfId="246" builtinId="9" hidden="1"/>
    <cellStyle name="Followed Hyperlink" xfId="247" builtinId="9" hidden="1"/>
    <cellStyle name="Followed Hyperlink" xfId="248" builtinId="9" hidden="1"/>
    <cellStyle name="Followed Hyperlink" xfId="249" builtinId="9" hidden="1"/>
    <cellStyle name="Followed Hyperlink" xfId="250" builtinId="9" hidden="1"/>
    <cellStyle name="Followed Hyperlink" xfId="251" builtinId="9" hidden="1"/>
    <cellStyle name="Followed Hyperlink" xfId="252" builtinId="9" hidden="1"/>
    <cellStyle name="Followed Hyperlink" xfId="253" builtinId="9" hidden="1"/>
    <cellStyle name="Followed Hyperlink" xfId="254" builtinId="9" hidden="1"/>
    <cellStyle name="Followed Hyperlink" xfId="255" builtinId="9" hidden="1"/>
    <cellStyle name="Followed Hyperlink" xfId="256" builtinId="9" hidden="1"/>
    <cellStyle name="Followed Hyperlink" xfId="257" builtinId="9" hidden="1"/>
    <cellStyle name="Followed Hyperlink" xfId="258" builtinId="9" hidden="1"/>
    <cellStyle name="Followed Hyperlink" xfId="259" builtinId="9" hidden="1"/>
    <cellStyle name="Followed Hyperlink" xfId="260" builtinId="9" hidden="1"/>
    <cellStyle name="Followed Hyperlink" xfId="261" builtinId="9" hidden="1"/>
    <cellStyle name="Followed Hyperlink" xfId="262" builtinId="9" hidden="1"/>
    <cellStyle name="Followed Hyperlink" xfId="263" builtinId="9" hidden="1"/>
    <cellStyle name="Followed Hyperlink" xfId="264" builtinId="9" hidden="1"/>
    <cellStyle name="Followed Hyperlink" xfId="265" builtinId="9" hidden="1"/>
    <cellStyle name="Followed Hyperlink" xfId="266" builtinId="9" hidden="1"/>
    <cellStyle name="Followed Hyperlink" xfId="267" builtinId="9" hidden="1"/>
    <cellStyle name="Followed Hyperlink" xfId="268" builtinId="9" hidden="1"/>
    <cellStyle name="Followed Hyperlink" xfId="269" builtinId="9" hidden="1"/>
    <cellStyle name="Followed Hyperlink" xfId="270" builtinId="9" hidden="1"/>
    <cellStyle name="Followed Hyperlink" xfId="271" builtinId="9" hidden="1"/>
    <cellStyle name="Followed Hyperlink" xfId="272" builtinId="9" hidden="1"/>
    <cellStyle name="Followed Hyperlink" xfId="273" builtinId="9" hidden="1"/>
    <cellStyle name="Followed Hyperlink" xfId="274" builtinId="9" hidden="1"/>
    <cellStyle name="Followed Hyperlink" xfId="275" builtinId="9" hidden="1"/>
    <cellStyle name="Followed Hyperlink" xfId="276" builtinId="9" hidden="1"/>
    <cellStyle name="Followed Hyperlink" xfId="277" builtinId="9" hidden="1"/>
    <cellStyle name="Followed Hyperlink" xfId="278" builtinId="9" hidden="1"/>
    <cellStyle name="Followed Hyperlink" xfId="279" builtinId="9" hidden="1"/>
    <cellStyle name="Followed Hyperlink" xfId="280" builtinId="9" hidden="1"/>
    <cellStyle name="Followed Hyperlink" xfId="281" builtinId="9" hidden="1"/>
    <cellStyle name="Followed Hyperlink" xfId="282" builtinId="9" hidden="1"/>
    <cellStyle name="Followed Hyperlink" xfId="283" builtinId="9" hidden="1"/>
    <cellStyle name="Followed Hyperlink" xfId="284" builtinId="9" hidden="1"/>
    <cellStyle name="Followed Hyperlink" xfId="285" builtinId="9" hidden="1"/>
    <cellStyle name="Followed Hyperlink" xfId="286" builtinId="9" hidden="1"/>
    <cellStyle name="Followed Hyperlink" xfId="287" builtinId="9" hidden="1"/>
    <cellStyle name="Followed Hyperlink" xfId="288" builtinId="9" hidden="1"/>
    <cellStyle name="Followed Hyperlink" xfId="289" builtinId="9" hidden="1"/>
    <cellStyle name="Followed Hyperlink" xfId="290" builtinId="9" hidden="1"/>
    <cellStyle name="Followed Hyperlink" xfId="291" builtinId="9" hidden="1"/>
    <cellStyle name="Followed Hyperlink" xfId="292" builtinId="9" hidden="1"/>
    <cellStyle name="Followed Hyperlink" xfId="293" builtinId="9" hidden="1"/>
    <cellStyle name="Followed Hyperlink" xfId="294" builtinId="9" hidden="1"/>
    <cellStyle name="Followed Hyperlink" xfId="295" builtinId="9" hidden="1"/>
    <cellStyle name="Followed Hyperlink" xfId="296" builtinId="9" hidden="1"/>
    <cellStyle name="Followed Hyperlink" xfId="297" builtinId="9" hidden="1"/>
    <cellStyle name="Followed Hyperlink" xfId="298" builtinId="9" hidden="1"/>
    <cellStyle name="Followed Hyperlink" xfId="299" builtinId="9" hidden="1"/>
    <cellStyle name="Followed Hyperlink" xfId="300" builtinId="9" hidden="1"/>
    <cellStyle name="Followed Hyperlink" xfId="301" builtinId="9" hidden="1"/>
    <cellStyle name="Followed Hyperlink" xfId="302" builtinId="9" hidden="1"/>
    <cellStyle name="Followed Hyperlink" xfId="303" builtinId="9" hidden="1"/>
    <cellStyle name="Followed Hyperlink" xfId="304" builtinId="9" hidden="1"/>
    <cellStyle name="Followed Hyperlink" xfId="305" builtinId="9" hidden="1"/>
    <cellStyle name="Followed Hyperlink" xfId="306" builtinId="9" hidden="1"/>
    <cellStyle name="Followed Hyperlink" xfId="307" builtinId="9" hidden="1"/>
    <cellStyle name="Followed Hyperlink" xfId="308" builtinId="9" hidden="1"/>
    <cellStyle name="Followed Hyperlink" xfId="309" builtinId="9" hidden="1"/>
    <cellStyle name="Followed Hyperlink" xfId="310" builtinId="9" hidden="1"/>
    <cellStyle name="Followed Hyperlink" xfId="311" builtinId="9" hidden="1"/>
    <cellStyle name="Followed Hyperlink" xfId="312" builtinId="9" hidden="1"/>
    <cellStyle name="Followed Hyperlink" xfId="313" builtinId="9" hidden="1"/>
    <cellStyle name="Followed Hyperlink" xfId="314" builtinId="9" hidden="1"/>
    <cellStyle name="Followed Hyperlink" xfId="315" builtinId="9" hidden="1"/>
    <cellStyle name="Followed Hyperlink" xfId="316" builtinId="9" hidden="1"/>
    <cellStyle name="Followed Hyperlink" xfId="317" builtinId="9" hidden="1"/>
    <cellStyle name="Followed Hyperlink" xfId="318" builtinId="9" hidden="1"/>
    <cellStyle name="Followed Hyperlink" xfId="319" builtinId="9" hidden="1"/>
    <cellStyle name="Followed Hyperlink" xfId="320" builtinId="9" hidden="1"/>
    <cellStyle name="Followed Hyperlink" xfId="321" builtinId="9" hidden="1"/>
    <cellStyle name="Followed Hyperlink" xfId="322" builtinId="9" hidden="1"/>
    <cellStyle name="Followed Hyperlink" xfId="323" builtinId="9" hidden="1"/>
    <cellStyle name="Followed Hyperlink" xfId="324" builtinId="9" hidden="1"/>
    <cellStyle name="Followed Hyperlink" xfId="325" builtinId="9" hidden="1"/>
    <cellStyle name="Followed Hyperlink" xfId="326" builtinId="9" hidden="1"/>
    <cellStyle name="Followed Hyperlink" xfId="327" builtinId="9" hidden="1"/>
    <cellStyle name="Followed Hyperlink" xfId="328" builtinId="9" hidden="1"/>
    <cellStyle name="Followed Hyperlink" xfId="329" builtinId="9" hidden="1"/>
    <cellStyle name="Followed Hyperlink" xfId="330" builtinId="9" hidden="1"/>
    <cellStyle name="Followed Hyperlink" xfId="331" builtinId="9" hidden="1"/>
    <cellStyle name="Followed Hyperlink" xfId="332" builtinId="9" hidden="1"/>
    <cellStyle name="Followed Hyperlink" xfId="333" builtinId="9" hidden="1"/>
    <cellStyle name="Followed Hyperlink" xfId="334" builtinId="9" hidden="1"/>
    <cellStyle name="Followed Hyperlink" xfId="335" builtinId="9" hidden="1"/>
    <cellStyle name="Followed Hyperlink" xfId="336" builtinId="9" hidden="1"/>
    <cellStyle name="Followed Hyperlink" xfId="337" builtinId="9" hidden="1"/>
    <cellStyle name="Followed Hyperlink" xfId="338" builtinId="9" hidden="1"/>
    <cellStyle name="Followed Hyperlink" xfId="339" builtinId="9" hidden="1"/>
    <cellStyle name="Followed Hyperlink" xfId="340" builtinId="9" hidden="1"/>
    <cellStyle name="Followed Hyperlink" xfId="341" builtinId="9" hidden="1"/>
    <cellStyle name="Followed Hyperlink" xfId="342" builtinId="9" hidden="1"/>
    <cellStyle name="Followed Hyperlink" xfId="343" builtinId="9" hidden="1"/>
    <cellStyle name="Followed Hyperlink" xfId="344" builtinId="9" hidden="1"/>
    <cellStyle name="Followed Hyperlink" xfId="345" builtinId="9" hidden="1"/>
    <cellStyle name="Followed Hyperlink" xfId="346" builtinId="9" hidden="1"/>
    <cellStyle name="Followed Hyperlink" xfId="347" builtinId="9" hidden="1"/>
    <cellStyle name="Followed Hyperlink" xfId="348" builtinId="9" hidden="1"/>
    <cellStyle name="Followed Hyperlink" xfId="349" builtinId="9" hidden="1"/>
    <cellStyle name="Followed Hyperlink" xfId="350" builtinId="9" hidden="1"/>
    <cellStyle name="Followed Hyperlink" xfId="351" builtinId="9" hidden="1"/>
    <cellStyle name="Followed Hyperlink" xfId="352" builtinId="9" hidden="1"/>
    <cellStyle name="Followed Hyperlink" xfId="353" builtinId="9" hidden="1"/>
    <cellStyle name="Followed Hyperlink" xfId="354" builtinId="9" hidden="1"/>
    <cellStyle name="Followed Hyperlink" xfId="355" builtinId="9" hidden="1"/>
    <cellStyle name="Followed Hyperlink" xfId="356" builtinId="9" hidden="1"/>
    <cellStyle name="Followed Hyperlink" xfId="357" builtinId="9" hidden="1"/>
    <cellStyle name="Followed Hyperlink" xfId="358" builtinId="9" hidden="1"/>
    <cellStyle name="Followed Hyperlink" xfId="359" builtinId="9" hidden="1"/>
    <cellStyle name="Followed Hyperlink" xfId="360" builtinId="9" hidden="1"/>
    <cellStyle name="Followed Hyperlink" xfId="361" builtinId="9" hidden="1"/>
    <cellStyle name="Followed Hyperlink" xfId="362" builtinId="9" hidden="1"/>
    <cellStyle name="Followed Hyperlink" xfId="363" builtinId="9" hidden="1"/>
    <cellStyle name="Followed Hyperlink" xfId="364" builtinId="9" hidden="1"/>
    <cellStyle name="Followed Hyperlink" xfId="365" builtinId="9" hidden="1"/>
    <cellStyle name="Followed Hyperlink" xfId="366" builtinId="9" hidden="1"/>
    <cellStyle name="Followed Hyperlink" xfId="367" builtinId="9" hidden="1"/>
    <cellStyle name="Followed Hyperlink" xfId="368" builtinId="9" hidden="1"/>
    <cellStyle name="Followed Hyperlink" xfId="369" builtinId="9" hidden="1"/>
    <cellStyle name="Followed Hyperlink" xfId="370" builtinId="9" hidden="1"/>
    <cellStyle name="Followed Hyperlink" xfId="371" builtinId="9" hidden="1"/>
    <cellStyle name="Followed Hyperlink" xfId="372" builtinId="9" hidden="1"/>
    <cellStyle name="Followed Hyperlink" xfId="373" builtinId="9" hidden="1"/>
    <cellStyle name="Followed Hyperlink" xfId="374" builtinId="9" hidden="1"/>
    <cellStyle name="Followed Hyperlink" xfId="375" builtinId="9" hidden="1"/>
    <cellStyle name="Followed Hyperlink" xfId="376" builtinId="9" hidden="1"/>
    <cellStyle name="Followed Hyperlink" xfId="377" builtinId="9" hidden="1"/>
    <cellStyle name="Followed Hyperlink" xfId="378" builtinId="9" hidden="1"/>
    <cellStyle name="Followed Hyperlink" xfId="379" builtinId="9" hidden="1"/>
    <cellStyle name="Followed Hyperlink" xfId="380" builtinId="9" hidden="1"/>
    <cellStyle name="Followed Hyperlink" xfId="381" builtinId="9" hidden="1"/>
    <cellStyle name="Followed Hyperlink" xfId="382" builtinId="9" hidden="1"/>
    <cellStyle name="Followed Hyperlink" xfId="383" builtinId="9" hidden="1"/>
    <cellStyle name="Followed Hyperlink" xfId="384" builtinId="9" hidden="1"/>
    <cellStyle name="Followed Hyperlink" xfId="385" builtinId="9" hidden="1"/>
    <cellStyle name="Followed Hyperlink" xfId="386" builtinId="9" hidden="1"/>
    <cellStyle name="Followed Hyperlink" xfId="387" builtinId="9" hidden="1"/>
    <cellStyle name="Followed Hyperlink" xfId="388" builtinId="9" hidden="1"/>
    <cellStyle name="Followed Hyperlink" xfId="389" builtinId="9" hidden="1"/>
    <cellStyle name="Followed Hyperlink" xfId="390" builtinId="9" hidden="1"/>
    <cellStyle name="Followed Hyperlink" xfId="391" builtinId="9" hidden="1"/>
    <cellStyle name="Followed Hyperlink" xfId="392" builtinId="9" hidden="1"/>
    <cellStyle name="Followed Hyperlink" xfId="393" builtinId="9" hidden="1"/>
    <cellStyle name="Followed Hyperlink" xfId="394" builtinId="9" hidden="1"/>
    <cellStyle name="Followed Hyperlink" xfId="395" builtinId="9" hidden="1"/>
    <cellStyle name="Followed Hyperlink" xfId="396" builtinId="9" hidden="1"/>
    <cellStyle name="Followed Hyperlink" xfId="397" builtinId="9" hidden="1"/>
    <cellStyle name="Followed Hyperlink" xfId="398" builtinId="9" hidden="1"/>
    <cellStyle name="Followed Hyperlink" xfId="399" builtinId="9" hidden="1"/>
    <cellStyle name="Followed Hyperlink" xfId="400" builtinId="9" hidden="1"/>
    <cellStyle name="Followed Hyperlink" xfId="401" builtinId="9" hidden="1"/>
    <cellStyle name="Followed Hyperlink" xfId="402" builtinId="9" hidden="1"/>
    <cellStyle name="Followed Hyperlink" xfId="403" builtinId="9" hidden="1"/>
    <cellStyle name="Followed Hyperlink" xfId="404" builtinId="9" hidden="1"/>
    <cellStyle name="Followed Hyperlink" xfId="405" builtinId="9" hidden="1"/>
    <cellStyle name="Followed Hyperlink" xfId="406" builtinId="9" hidden="1"/>
    <cellStyle name="Followed Hyperlink" xfId="407" builtinId="9" hidden="1"/>
    <cellStyle name="Followed Hyperlink" xfId="408" builtinId="9" hidden="1"/>
    <cellStyle name="Followed Hyperlink" xfId="409" builtinId="9" hidden="1"/>
    <cellStyle name="Followed Hyperlink" xfId="410" builtinId="9" hidden="1"/>
    <cellStyle name="Followed Hyperlink" xfId="411" builtinId="9" hidden="1"/>
    <cellStyle name="Followed Hyperlink" xfId="412" builtinId="9" hidden="1"/>
    <cellStyle name="Followed Hyperlink" xfId="413" builtinId="9" hidden="1"/>
    <cellStyle name="Followed Hyperlink" xfId="414" builtinId="9" hidden="1"/>
    <cellStyle name="Followed Hyperlink" xfId="415" builtinId="9" hidden="1"/>
    <cellStyle name="Followed Hyperlink" xfId="416" builtinId="9" hidden="1"/>
    <cellStyle name="Followed Hyperlink" xfId="417" builtinId="9" hidden="1"/>
    <cellStyle name="Followed Hyperlink" xfId="418" builtinId="9" hidden="1"/>
    <cellStyle name="Followed Hyperlink" xfId="419" builtinId="9" hidden="1"/>
    <cellStyle name="Followed Hyperlink" xfId="420" builtinId="9" hidden="1"/>
    <cellStyle name="Followed Hyperlink" xfId="421" builtinId="9" hidden="1"/>
    <cellStyle name="Followed Hyperlink" xfId="422" builtinId="9" hidden="1"/>
    <cellStyle name="Followed Hyperlink" xfId="423" builtinId="9" hidden="1"/>
    <cellStyle name="Followed Hyperlink" xfId="424" builtinId="9" hidden="1"/>
    <cellStyle name="Followed Hyperlink" xfId="425" builtinId="9" hidden="1"/>
    <cellStyle name="Followed Hyperlink" xfId="426" builtinId="9" hidden="1"/>
    <cellStyle name="Followed Hyperlink" xfId="427" builtinId="9" hidden="1"/>
    <cellStyle name="Followed Hyperlink" xfId="428" builtinId="9" hidden="1"/>
    <cellStyle name="Followed Hyperlink" xfId="429" builtinId="9" hidden="1"/>
    <cellStyle name="Followed Hyperlink" xfId="430" builtinId="9" hidden="1"/>
    <cellStyle name="Followed Hyperlink" xfId="431" builtinId="9" hidden="1"/>
    <cellStyle name="Followed Hyperlink" xfId="432" builtinId="9" hidden="1"/>
    <cellStyle name="Followed Hyperlink" xfId="433" builtinId="9" hidden="1"/>
    <cellStyle name="Followed Hyperlink" xfId="434" builtinId="9" hidden="1"/>
    <cellStyle name="Followed Hyperlink" xfId="435" builtinId="9" hidden="1"/>
    <cellStyle name="Followed Hyperlink" xfId="436" builtinId="9" hidden="1"/>
    <cellStyle name="Followed Hyperlink" xfId="437" builtinId="9" hidden="1"/>
    <cellStyle name="Followed Hyperlink" xfId="438" builtinId="9" hidden="1"/>
    <cellStyle name="Followed Hyperlink" xfId="439" builtinId="9" hidden="1"/>
    <cellStyle name="Followed Hyperlink" xfId="440" builtinId="9" hidden="1"/>
    <cellStyle name="Followed Hyperlink" xfId="441" builtinId="9" hidden="1"/>
    <cellStyle name="Followed Hyperlink" xfId="442" builtinId="9" hidden="1"/>
    <cellStyle name="Followed Hyperlink" xfId="443" builtinId="9" hidden="1"/>
    <cellStyle name="Followed Hyperlink" xfId="444" builtinId="9" hidden="1"/>
    <cellStyle name="Followed Hyperlink" xfId="445" builtinId="9" hidden="1"/>
    <cellStyle name="Followed Hyperlink" xfId="446" builtinId="9" hidden="1"/>
    <cellStyle name="Followed Hyperlink" xfId="447" builtinId="9" hidden="1"/>
    <cellStyle name="Followed Hyperlink" xfId="448" builtinId="9" hidden="1"/>
    <cellStyle name="Followed Hyperlink" xfId="449" builtinId="9" hidden="1"/>
    <cellStyle name="Followed Hyperlink" xfId="450" builtinId="9" hidden="1"/>
    <cellStyle name="Followed Hyperlink" xfId="451" builtinId="9" hidden="1"/>
    <cellStyle name="Followed Hyperlink" xfId="452" builtinId="9" hidden="1"/>
    <cellStyle name="Followed Hyperlink" xfId="453" builtinId="9" hidden="1"/>
    <cellStyle name="Followed Hyperlink" xfId="454" builtinId="9" hidden="1"/>
    <cellStyle name="Followed Hyperlink" xfId="455" builtinId="9" hidden="1"/>
    <cellStyle name="Followed Hyperlink" xfId="456"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cellStyle name="Normal" xfId="0" builtinId="0" customBuiltin="1"/>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BNP membership</a:t>
            </a:r>
          </a:p>
        </c:rich>
      </c:tx>
      <c:overlay val="0"/>
    </c:title>
    <c:autoTitleDeleted val="0"/>
    <c:plotArea>
      <c:layout/>
      <c:lineChart>
        <c:grouping val="standard"/>
        <c:varyColors val="0"/>
        <c:ser>
          <c:idx val="0"/>
          <c:order val="0"/>
          <c:spPr>
            <a:ln>
              <a:solidFill>
                <a:schemeClr val="tx1"/>
              </a:solidFill>
            </a:ln>
          </c:spPr>
          <c:marker>
            <c:spPr>
              <a:solidFill>
                <a:srgbClr val="FF0000"/>
              </a:solidFill>
              <a:ln cap="sq">
                <a:solidFill>
                  <a:schemeClr val="tx1"/>
                </a:solidFill>
              </a:ln>
            </c:spPr>
          </c:marker>
          <c:cat>
            <c:numRef>
              <c:f>[1]UK_council!$A$29:$A$42</c:f>
              <c:numCache>
                <c:formatCode>General</c:formatCode>
                <c:ptCount val="14"/>
                <c:pt idx="0">
                  <c:v>2001</c:v>
                </c:pt>
                <c:pt idx="1">
                  <c:v>2002</c:v>
                </c:pt>
                <c:pt idx="2">
                  <c:v>2003</c:v>
                </c:pt>
                <c:pt idx="3">
                  <c:v>2004</c:v>
                </c:pt>
                <c:pt idx="4">
                  <c:v>2005</c:v>
                </c:pt>
                <c:pt idx="5">
                  <c:v>2006</c:v>
                </c:pt>
                <c:pt idx="6">
                  <c:v>2007</c:v>
                </c:pt>
                <c:pt idx="7">
                  <c:v>2008</c:v>
                </c:pt>
                <c:pt idx="8">
                  <c:v>2009</c:v>
                </c:pt>
                <c:pt idx="9">
                  <c:v>2010</c:v>
                </c:pt>
                <c:pt idx="10">
                  <c:v>2011</c:v>
                </c:pt>
                <c:pt idx="11">
                  <c:v>2012</c:v>
                </c:pt>
                <c:pt idx="12">
                  <c:v>2013</c:v>
                </c:pt>
                <c:pt idx="13">
                  <c:v>2014</c:v>
                </c:pt>
              </c:numCache>
            </c:numRef>
          </c:cat>
          <c:val>
            <c:numRef>
              <c:f>[1]UK_council!$B$29:$B$42</c:f>
              <c:numCache>
                <c:formatCode>General</c:formatCode>
                <c:ptCount val="14"/>
                <c:pt idx="0">
                  <c:v>2173</c:v>
                </c:pt>
                <c:pt idx="1">
                  <c:v>3487</c:v>
                </c:pt>
                <c:pt idx="2">
                  <c:v>5737</c:v>
                </c:pt>
                <c:pt idx="3">
                  <c:v>7916</c:v>
                </c:pt>
                <c:pt idx="4">
                  <c:v>6281</c:v>
                </c:pt>
                <c:pt idx="5">
                  <c:v>7789</c:v>
                </c:pt>
                <c:pt idx="6">
                  <c:v>9297</c:v>
                </c:pt>
                <c:pt idx="7">
                  <c:v>9801</c:v>
                </c:pt>
                <c:pt idx="8">
                  <c:v>12632</c:v>
                </c:pt>
                <c:pt idx="9">
                  <c:v>10256</c:v>
                </c:pt>
                <c:pt idx="10">
                  <c:v>7681</c:v>
                </c:pt>
                <c:pt idx="11">
                  <c:v>4872</c:v>
                </c:pt>
                <c:pt idx="12">
                  <c:v>4220</c:v>
                </c:pt>
                <c:pt idx="13">
                  <c:v>2992</c:v>
                </c:pt>
              </c:numCache>
            </c:numRef>
          </c:val>
          <c:smooth val="0"/>
          <c:extLst>
            <c:ext xmlns:c16="http://schemas.microsoft.com/office/drawing/2014/chart" uri="{C3380CC4-5D6E-409C-BE32-E72D297353CC}">
              <c16:uniqueId val="{00000000-6A20-0B42-87F3-D0789E832F9D}"/>
            </c:ext>
          </c:extLst>
        </c:ser>
        <c:dLbls>
          <c:showLegendKey val="0"/>
          <c:showVal val="0"/>
          <c:showCatName val="0"/>
          <c:showSerName val="0"/>
          <c:showPercent val="0"/>
          <c:showBubbleSize val="0"/>
        </c:dLbls>
        <c:marker val="1"/>
        <c:smooth val="0"/>
        <c:axId val="-2132708872"/>
        <c:axId val="-2131424120"/>
      </c:lineChart>
      <c:catAx>
        <c:axId val="-2132708872"/>
        <c:scaling>
          <c:orientation val="minMax"/>
        </c:scaling>
        <c:delete val="0"/>
        <c:axPos val="b"/>
        <c:numFmt formatCode="General" sourceLinked="1"/>
        <c:majorTickMark val="none"/>
        <c:minorTickMark val="none"/>
        <c:tickLblPos val="nextTo"/>
        <c:crossAx val="-2131424120"/>
        <c:crosses val="autoZero"/>
        <c:auto val="1"/>
        <c:lblAlgn val="ctr"/>
        <c:lblOffset val="100"/>
        <c:noMultiLvlLbl val="0"/>
      </c:catAx>
      <c:valAx>
        <c:axId val="-2131424120"/>
        <c:scaling>
          <c:orientation val="minMax"/>
        </c:scaling>
        <c:delete val="0"/>
        <c:axPos val="l"/>
        <c:majorGridlines/>
        <c:title>
          <c:overlay val="0"/>
        </c:title>
        <c:numFmt formatCode="General" sourceLinked="1"/>
        <c:majorTickMark val="none"/>
        <c:minorTickMark val="none"/>
        <c:tickLblPos val="nextTo"/>
        <c:crossAx val="-2132708872"/>
        <c:crosses val="autoZero"/>
        <c:crossBetween val="between"/>
      </c:valAx>
    </c:plotArea>
    <c:legend>
      <c:legendPos val="r"/>
      <c:overlay val="0"/>
    </c:legend>
    <c:plotVisOnly val="1"/>
    <c:dispBlanksAs val="span"/>
    <c:showDLblsOverMax val="0"/>
  </c:chart>
  <c:printSettings>
    <c:headerFooter/>
    <c:pageMargins b="1" l="0.75" r="0.75" t="1" header="0.5" footer="0.5"/>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BNP membership</a:t>
            </a:r>
          </a:p>
        </c:rich>
      </c:tx>
      <c:overlay val="0"/>
    </c:title>
    <c:autoTitleDeleted val="0"/>
    <c:plotArea>
      <c:layout/>
      <c:lineChart>
        <c:grouping val="standard"/>
        <c:varyColors val="0"/>
        <c:ser>
          <c:idx val="0"/>
          <c:order val="0"/>
          <c:spPr>
            <a:ln>
              <a:solidFill>
                <a:schemeClr val="tx1"/>
              </a:solidFill>
            </a:ln>
          </c:spPr>
          <c:marker>
            <c:spPr>
              <a:solidFill>
                <a:srgbClr val="FF0000"/>
              </a:solidFill>
              <a:ln cap="sq">
                <a:solidFill>
                  <a:schemeClr val="tx1"/>
                </a:solidFill>
              </a:ln>
            </c:spPr>
          </c:marker>
          <c:cat>
            <c:numRef>
              <c:f>[1]UK_council!$A$29:$A$42</c:f>
              <c:numCache>
                <c:formatCode>General</c:formatCode>
                <c:ptCount val="14"/>
                <c:pt idx="0">
                  <c:v>2001</c:v>
                </c:pt>
                <c:pt idx="1">
                  <c:v>2002</c:v>
                </c:pt>
                <c:pt idx="2">
                  <c:v>2003</c:v>
                </c:pt>
                <c:pt idx="3">
                  <c:v>2004</c:v>
                </c:pt>
                <c:pt idx="4">
                  <c:v>2005</c:v>
                </c:pt>
                <c:pt idx="5">
                  <c:v>2006</c:v>
                </c:pt>
                <c:pt idx="6">
                  <c:v>2007</c:v>
                </c:pt>
                <c:pt idx="7">
                  <c:v>2008</c:v>
                </c:pt>
                <c:pt idx="8">
                  <c:v>2009</c:v>
                </c:pt>
                <c:pt idx="9">
                  <c:v>2010</c:v>
                </c:pt>
                <c:pt idx="10">
                  <c:v>2011</c:v>
                </c:pt>
                <c:pt idx="11">
                  <c:v>2012</c:v>
                </c:pt>
                <c:pt idx="12">
                  <c:v>2013</c:v>
                </c:pt>
                <c:pt idx="13">
                  <c:v>2014</c:v>
                </c:pt>
              </c:numCache>
            </c:numRef>
          </c:cat>
          <c:val>
            <c:numRef>
              <c:f>[1]UK_council!$B$29:$B$42</c:f>
              <c:numCache>
                <c:formatCode>General</c:formatCode>
                <c:ptCount val="14"/>
                <c:pt idx="0">
                  <c:v>2173</c:v>
                </c:pt>
                <c:pt idx="1">
                  <c:v>3487</c:v>
                </c:pt>
                <c:pt idx="2">
                  <c:v>5737</c:v>
                </c:pt>
                <c:pt idx="3">
                  <c:v>7916</c:v>
                </c:pt>
                <c:pt idx="4">
                  <c:v>6281</c:v>
                </c:pt>
                <c:pt idx="5">
                  <c:v>7789</c:v>
                </c:pt>
                <c:pt idx="6">
                  <c:v>9297</c:v>
                </c:pt>
                <c:pt idx="7">
                  <c:v>9801</c:v>
                </c:pt>
                <c:pt idx="8">
                  <c:v>12632</c:v>
                </c:pt>
                <c:pt idx="9">
                  <c:v>10256</c:v>
                </c:pt>
                <c:pt idx="10">
                  <c:v>7681</c:v>
                </c:pt>
                <c:pt idx="11">
                  <c:v>4872</c:v>
                </c:pt>
                <c:pt idx="12">
                  <c:v>4220</c:v>
                </c:pt>
                <c:pt idx="13">
                  <c:v>2992</c:v>
                </c:pt>
              </c:numCache>
            </c:numRef>
          </c:val>
          <c:smooth val="0"/>
          <c:extLst>
            <c:ext xmlns:c16="http://schemas.microsoft.com/office/drawing/2014/chart" uri="{C3380CC4-5D6E-409C-BE32-E72D297353CC}">
              <c16:uniqueId val="{00000000-BB34-DC43-9F7A-C226A93BA80E}"/>
            </c:ext>
          </c:extLst>
        </c:ser>
        <c:dLbls>
          <c:showLegendKey val="0"/>
          <c:showVal val="0"/>
          <c:showCatName val="0"/>
          <c:showSerName val="0"/>
          <c:showPercent val="0"/>
          <c:showBubbleSize val="0"/>
        </c:dLbls>
        <c:marker val="1"/>
        <c:smooth val="0"/>
        <c:axId val="-2132708872"/>
        <c:axId val="-2131424120"/>
      </c:lineChart>
      <c:catAx>
        <c:axId val="-2132708872"/>
        <c:scaling>
          <c:orientation val="minMax"/>
        </c:scaling>
        <c:delete val="0"/>
        <c:axPos val="b"/>
        <c:numFmt formatCode="General" sourceLinked="1"/>
        <c:majorTickMark val="none"/>
        <c:minorTickMark val="none"/>
        <c:tickLblPos val="nextTo"/>
        <c:crossAx val="-2131424120"/>
        <c:crosses val="autoZero"/>
        <c:auto val="1"/>
        <c:lblAlgn val="ctr"/>
        <c:lblOffset val="100"/>
        <c:noMultiLvlLbl val="0"/>
      </c:catAx>
      <c:valAx>
        <c:axId val="-2131424120"/>
        <c:scaling>
          <c:orientation val="minMax"/>
        </c:scaling>
        <c:delete val="0"/>
        <c:axPos val="l"/>
        <c:majorGridlines/>
        <c:title>
          <c:overlay val="0"/>
        </c:title>
        <c:numFmt formatCode="General" sourceLinked="1"/>
        <c:majorTickMark val="none"/>
        <c:minorTickMark val="none"/>
        <c:tickLblPos val="nextTo"/>
        <c:crossAx val="-2132708872"/>
        <c:crosses val="autoZero"/>
        <c:crossBetween val="between"/>
      </c:valAx>
    </c:plotArea>
    <c:legend>
      <c:legendPos val="r"/>
      <c:overlay val="0"/>
    </c:legend>
    <c:plotVisOnly val="1"/>
    <c:dispBlanksAs val="span"/>
    <c:showDLblsOverMax val="0"/>
  </c:chart>
  <c:printSettings>
    <c:headerFooter/>
    <c:pageMargins b="1" l="0.75" r="0.75" t="1" header="0.5" footer="0.5"/>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603250</xdr:colOff>
      <xdr:row>28</xdr:row>
      <xdr:rowOff>19050</xdr:rowOff>
    </xdr:from>
    <xdr:to>
      <xdr:col>9</xdr:col>
      <xdr:colOff>1047750</xdr:colOff>
      <xdr:row>42</xdr:row>
      <xdr:rowOff>95250</xdr:rowOff>
    </xdr:to>
    <xdr:graphicFrame macro="">
      <xdr:nvGraphicFramePr>
        <xdr:cNvPr id="2" name="Chart 1">
          <a:extLst>
            <a:ext uri="{FF2B5EF4-FFF2-40B4-BE49-F238E27FC236}">
              <a16:creationId xmlns:a16="http://schemas.microsoft.com/office/drawing/2014/main" id="{A19332E0-B39D-7B45-B79C-6FF4CBC7BB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603250</xdr:colOff>
      <xdr:row>28</xdr:row>
      <xdr:rowOff>19050</xdr:rowOff>
    </xdr:from>
    <xdr:to>
      <xdr:col>9</xdr:col>
      <xdr:colOff>1047750</xdr:colOff>
      <xdr:row>42</xdr:row>
      <xdr:rowOff>95250</xdr:rowOff>
    </xdr:to>
    <xdr:graphicFrame macro="">
      <xdr:nvGraphicFramePr>
        <xdr:cNvPr id="3" name="Chart 2">
          <a:extLst>
            <a:ext uri="{FF2B5EF4-FFF2-40B4-BE49-F238E27FC236}">
              <a16:creationId xmlns:a16="http://schemas.microsoft.com/office/drawing/2014/main" id="{FD2AC4F1-8F46-8B47-9388-A6A53788CE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0</xdr:colOff>
      <xdr:row>5</xdr:row>
      <xdr:rowOff>0</xdr:rowOff>
    </xdr:from>
    <xdr:to>
      <xdr:col>6</xdr:col>
      <xdr:colOff>812800</xdr:colOff>
      <xdr:row>20</xdr:row>
      <xdr:rowOff>152400</xdr:rowOff>
    </xdr:to>
    <xdr:sp macro="" textlink="">
      <xdr:nvSpPr>
        <xdr:cNvPr id="2" name="TextBox 1">
          <a:extLst>
            <a:ext uri="{FF2B5EF4-FFF2-40B4-BE49-F238E27FC236}">
              <a16:creationId xmlns:a16="http://schemas.microsoft.com/office/drawing/2014/main" id="{5B11F79E-BDFA-254E-A3E4-3CA411F85AAF}"/>
            </a:ext>
          </a:extLst>
        </xdr:cNvPr>
        <xdr:cNvSpPr txBox="1"/>
      </xdr:nvSpPr>
      <xdr:spPr>
        <a:xfrm flipH="1">
          <a:off x="4127500" y="1016000"/>
          <a:ext cx="1638300" cy="3200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For the sake of longitudinal comparability</a:t>
          </a:r>
          <a:r>
            <a:rPr lang="en-US" sz="1100" baseline="0"/>
            <a:t>, the number of violent offences includes only homicides and attempted homicides, injuries, arson, and violent destruction of property</a:t>
          </a: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5</xdr:col>
      <xdr:colOff>114300</xdr:colOff>
      <xdr:row>6</xdr:row>
      <xdr:rowOff>88900</xdr:rowOff>
    </xdr:from>
    <xdr:to>
      <xdr:col>8</xdr:col>
      <xdr:colOff>622300</xdr:colOff>
      <xdr:row>18</xdr:row>
      <xdr:rowOff>190500</xdr:rowOff>
    </xdr:to>
    <xdr:sp macro="" textlink="">
      <xdr:nvSpPr>
        <xdr:cNvPr id="2" name="TextBox 1">
          <a:extLst>
            <a:ext uri="{FF2B5EF4-FFF2-40B4-BE49-F238E27FC236}">
              <a16:creationId xmlns:a16="http://schemas.microsoft.com/office/drawing/2014/main" id="{3157A43D-2AB9-3A44-BF0E-484B3927BC6E}"/>
            </a:ext>
          </a:extLst>
        </xdr:cNvPr>
        <xdr:cNvSpPr txBox="1"/>
      </xdr:nvSpPr>
      <xdr:spPr>
        <a:xfrm>
          <a:off x="4241800" y="1308100"/>
          <a:ext cx="2984500" cy="2540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1990-1997: ÖVfsB</a:t>
          </a:r>
          <a:r>
            <a:rPr lang="en-US" sz="1100" baseline="0"/>
            <a:t> 1997, p30-32</a:t>
          </a:r>
        </a:p>
        <a:p>
          <a:r>
            <a:rPr lang="en-US" sz="1100"/>
            <a:t>1998-2000:</a:t>
          </a:r>
          <a:r>
            <a:rPr lang="en-US" sz="1100" baseline="0"/>
            <a:t> </a:t>
          </a:r>
          <a:r>
            <a:rPr lang="de-DE" sz="1100" baseline="0"/>
            <a:t>ÖVfsB 1997, p35-37</a:t>
          </a:r>
        </a:p>
        <a:p>
          <a:endParaRPr lang="de-DE" sz="1100" baseline="0"/>
        </a:p>
        <a:p>
          <a:r>
            <a:rPr lang="de-DE" sz="1100"/>
            <a:t>Verbotsgesetz</a:t>
          </a:r>
        </a:p>
        <a:p>
          <a:r>
            <a:rPr lang="de-DE" sz="1100"/>
            <a:t>Verhetzung (§283 StGB)</a:t>
          </a:r>
        </a:p>
        <a:p>
          <a:r>
            <a:rPr lang="de-DE" sz="1100"/>
            <a:t>Sonstige relevante Delikte</a:t>
          </a:r>
        </a:p>
        <a:p>
          <a:r>
            <a:rPr lang="de-DE" sz="1100"/>
            <a:t>Abzeichengesetz</a:t>
          </a:r>
        </a:p>
        <a:p>
          <a:r>
            <a:rPr lang="de-DE" sz="1100"/>
            <a:t>EGVG</a:t>
          </a:r>
          <a:r>
            <a:rPr lang="de-DE" sz="1100" baseline="0"/>
            <a:t> - </a:t>
          </a:r>
          <a:r>
            <a:rPr lang="de-DE" sz="1100"/>
            <a:t>Einführungsgesetz zu den Verwaltungsverfahrens gesetzen</a:t>
          </a:r>
        </a:p>
        <a:p>
          <a:endParaRPr lang="de-DE" sz="1100"/>
        </a:p>
        <a:p>
          <a:r>
            <a:rPr lang="de-DE" sz="1100"/>
            <a:t>Anzeigen nach sonstigen Delikten nach dem StGB (Körperverletzung, Sachbeschädigung, etc.)</a:t>
          </a:r>
          <a:endParaRPr lang="en-US" sz="1100"/>
        </a:p>
      </xdr:txBody>
    </xdr:sp>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Dropbox%20(Personal)/Dissertation/Z_phd.elections_DE_AT.xlsx" TargetMode="External"/><Relationship Id="rId2" Type="http://schemas.openxmlformats.org/officeDocument/2006/relationships/externalLinkPath" Target="/Users/mz/Dropbox%20(Personal)/Dissertation/Z_phd.elections_DE_AT.xlsx" TargetMode="External"/><Relationship Id="rId1" Type="http://schemas.openxmlformats.org/officeDocument/2006/relationships/externalLinkPath" Target="/Users/mz/Dropbox%20(Personal)/Dissertation/Z_phd.elections_DE_A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EU_elections"/>
      <sheetName val="DE_Bundestag"/>
      <sheetName val="DE_Landtag"/>
      <sheetName val="DE_Landtag_%"/>
      <sheetName val="DE_Landtag_cum"/>
      <sheetName val="AT_Nationalrat"/>
      <sheetName val="AT_Landtag"/>
      <sheetName val="AT_Landtag_fpoe"/>
      <sheetName val="UK_council"/>
      <sheetName val="HU"/>
    </sheetNames>
    <sheetDataSet>
      <sheetData sheetId="0"/>
      <sheetData sheetId="1"/>
      <sheetData sheetId="2"/>
      <sheetData sheetId="3"/>
      <sheetData sheetId="4"/>
      <sheetData sheetId="5"/>
      <sheetData sheetId="6"/>
      <sheetData sheetId="7"/>
      <sheetData sheetId="8">
        <row r="29">
          <cell r="A29">
            <v>2001</v>
          </cell>
          <cell r="B29">
            <v>2173</v>
          </cell>
        </row>
        <row r="30">
          <cell r="A30">
            <v>2002</v>
          </cell>
          <cell r="B30">
            <v>3487</v>
          </cell>
        </row>
        <row r="31">
          <cell r="A31">
            <v>2003</v>
          </cell>
          <cell r="B31">
            <v>5737</v>
          </cell>
        </row>
        <row r="32">
          <cell r="A32">
            <v>2004</v>
          </cell>
          <cell r="B32">
            <v>7916</v>
          </cell>
        </row>
        <row r="33">
          <cell r="A33">
            <v>2005</v>
          </cell>
          <cell r="B33">
            <v>6281</v>
          </cell>
        </row>
        <row r="34">
          <cell r="A34">
            <v>2006</v>
          </cell>
          <cell r="B34">
            <v>7789</v>
          </cell>
        </row>
        <row r="35">
          <cell r="A35">
            <v>2007</v>
          </cell>
          <cell r="B35">
            <v>9297</v>
          </cell>
        </row>
        <row r="36">
          <cell r="A36">
            <v>2008</v>
          </cell>
          <cell r="B36">
            <v>9801</v>
          </cell>
        </row>
        <row r="37">
          <cell r="A37">
            <v>2009</v>
          </cell>
          <cell r="B37">
            <v>12632</v>
          </cell>
        </row>
        <row r="38">
          <cell r="A38">
            <v>2010</v>
          </cell>
          <cell r="B38">
            <v>10256</v>
          </cell>
        </row>
        <row r="39">
          <cell r="A39">
            <v>2011</v>
          </cell>
          <cell r="B39">
            <v>7681</v>
          </cell>
        </row>
        <row r="40">
          <cell r="A40">
            <v>2012</v>
          </cell>
          <cell r="B40">
            <v>4872</v>
          </cell>
        </row>
        <row r="41">
          <cell r="A41">
            <v>2013</v>
          </cell>
          <cell r="B41">
            <v>4220</v>
          </cell>
        </row>
        <row r="42">
          <cell r="A42">
            <v>2014</v>
          </cell>
          <cell r="B42">
            <v>2992</v>
          </cell>
        </row>
      </sheetData>
      <sheetData sheetId="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hyperlink" Target="https://dip21.bundestag.de/dip21/btd/11/033/1103315.pdf" TargetMode="External"/></Relationships>
</file>

<file path=xl/worksheets/_rels/sheet6.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X46"/>
  <sheetViews>
    <sheetView workbookViewId="0">
      <pane xSplit="3" topLeftCell="D1" activePane="topRight" state="frozen"/>
      <selection pane="topRight" activeCell="AL24" sqref="AL24"/>
    </sheetView>
  </sheetViews>
  <sheetFormatPr baseColWidth="10" defaultRowHeight="16" x14ac:dyDescent="0.2"/>
  <cols>
    <col min="1" max="1" width="26.5" customWidth="1"/>
    <col min="2" max="2" width="7.33203125" style="11" customWidth="1"/>
    <col min="3" max="3" width="9.1640625" customWidth="1"/>
    <col min="4" max="4" width="33.83203125" bestFit="1" customWidth="1"/>
    <col min="7" max="7" width="4.83203125" bestFit="1" customWidth="1"/>
    <col min="8" max="8" width="5.83203125" bestFit="1" customWidth="1"/>
    <col min="9" max="9" width="6.5" bestFit="1" customWidth="1"/>
    <col min="10" max="10" width="5.6640625" bestFit="1" customWidth="1"/>
    <col min="11" max="13" width="6.83203125" customWidth="1"/>
    <col min="14" max="14" width="5.1640625" bestFit="1" customWidth="1"/>
    <col min="15" max="15" width="6.5" bestFit="1" customWidth="1"/>
    <col min="18" max="18" width="5.33203125" bestFit="1" customWidth="1"/>
    <col min="21" max="21" width="9.1640625" bestFit="1" customWidth="1"/>
    <col min="22" max="22" width="6.1640625" bestFit="1" customWidth="1"/>
    <col min="23" max="23" width="7.5" bestFit="1" customWidth="1"/>
    <col min="25" max="25" width="6.1640625" bestFit="1" customWidth="1"/>
    <col min="28" max="28" width="6" customWidth="1"/>
    <col min="29" max="30" width="5.5" customWidth="1"/>
    <col min="31" max="31" width="4.5" bestFit="1" customWidth="1"/>
    <col min="32" max="32" width="5.6640625" bestFit="1" customWidth="1"/>
    <col min="33" max="33" width="5.83203125" bestFit="1" customWidth="1"/>
    <col min="34" max="37" width="7" bestFit="1" customWidth="1"/>
    <col min="38" max="38" width="4.5" bestFit="1" customWidth="1"/>
    <col min="39" max="39" width="5.1640625" bestFit="1" customWidth="1"/>
    <col min="40" max="40" width="5.83203125" bestFit="1" customWidth="1"/>
    <col min="41" max="41" width="6.33203125" bestFit="1" customWidth="1"/>
    <col min="42" max="42" width="7.33203125" customWidth="1"/>
    <col min="43" max="43" width="10.5" bestFit="1" customWidth="1"/>
    <col min="44" max="44" width="7.83203125" bestFit="1" customWidth="1"/>
    <col min="45" max="45" width="7.83203125" customWidth="1"/>
    <col min="46" max="46" width="6.33203125" customWidth="1"/>
    <col min="47" max="47" width="6" customWidth="1"/>
    <col min="48" max="48" width="6.5" customWidth="1"/>
    <col min="49" max="49" width="7" customWidth="1"/>
    <col min="50" max="50" width="5.33203125" customWidth="1"/>
  </cols>
  <sheetData>
    <row r="1" spans="1:50" x14ac:dyDescent="0.2">
      <c r="A1" t="s">
        <v>1</v>
      </c>
      <c r="B1" s="11" t="s">
        <v>6</v>
      </c>
      <c r="C1" t="s">
        <v>8</v>
      </c>
      <c r="D1" t="s">
        <v>10</v>
      </c>
      <c r="E1" t="s">
        <v>4</v>
      </c>
      <c r="F1" t="s">
        <v>272</v>
      </c>
      <c r="G1" t="s">
        <v>3</v>
      </c>
      <c r="H1" t="s">
        <v>259</v>
      </c>
      <c r="I1" t="s">
        <v>262</v>
      </c>
      <c r="J1" t="s">
        <v>143</v>
      </c>
      <c r="K1" t="s">
        <v>32</v>
      </c>
      <c r="L1" t="s">
        <v>268</v>
      </c>
      <c r="M1" t="s">
        <v>269</v>
      </c>
      <c r="N1" t="s">
        <v>15</v>
      </c>
      <c r="O1" t="s">
        <v>17</v>
      </c>
      <c r="P1" t="s">
        <v>20</v>
      </c>
      <c r="Q1" t="s">
        <v>22</v>
      </c>
      <c r="R1" t="s">
        <v>26</v>
      </c>
      <c r="S1" t="s">
        <v>25</v>
      </c>
      <c r="T1" t="s">
        <v>29</v>
      </c>
      <c r="U1" t="s">
        <v>31</v>
      </c>
      <c r="V1" t="s">
        <v>55</v>
      </c>
      <c r="W1" t="s">
        <v>256</v>
      </c>
      <c r="X1" t="s">
        <v>57</v>
      </c>
      <c r="Y1" t="s">
        <v>36</v>
      </c>
      <c r="Z1" t="s">
        <v>38</v>
      </c>
      <c r="AA1" t="s">
        <v>40</v>
      </c>
      <c r="AB1" t="s">
        <v>41</v>
      </c>
      <c r="AC1" t="s">
        <v>45</v>
      </c>
      <c r="AD1" t="s">
        <v>47</v>
      </c>
      <c r="AE1" t="s">
        <v>49</v>
      </c>
      <c r="AF1" t="s">
        <v>52</v>
      </c>
      <c r="AG1" t="s">
        <v>59</v>
      </c>
      <c r="AH1" t="s">
        <v>61</v>
      </c>
      <c r="AI1" t="s">
        <v>63</v>
      </c>
      <c r="AJ1" t="s">
        <v>65</v>
      </c>
      <c r="AK1" t="s">
        <v>67</v>
      </c>
      <c r="AL1" t="s">
        <v>69</v>
      </c>
      <c r="AM1" t="s">
        <v>71</v>
      </c>
      <c r="AN1" t="s">
        <v>73</v>
      </c>
      <c r="AO1" t="s">
        <v>75</v>
      </c>
      <c r="AP1" s="12"/>
      <c r="AQ1" s="12" t="s">
        <v>275</v>
      </c>
      <c r="AR1" s="12" t="s">
        <v>276</v>
      </c>
      <c r="AS1" s="12" t="s">
        <v>285</v>
      </c>
      <c r="AT1" s="13" t="s">
        <v>281</v>
      </c>
      <c r="AU1" s="13" t="s">
        <v>282</v>
      </c>
      <c r="AV1" s="13" t="s">
        <v>283</v>
      </c>
      <c r="AW1" s="13" t="s">
        <v>284</v>
      </c>
      <c r="AX1" s="13" t="s">
        <v>267</v>
      </c>
    </row>
    <row r="2" spans="1:50" x14ac:dyDescent="0.2">
      <c r="A2" t="s">
        <v>392</v>
      </c>
      <c r="B2" s="11" t="s">
        <v>151</v>
      </c>
      <c r="C2" t="s">
        <v>90</v>
      </c>
      <c r="D2" t="s">
        <v>152</v>
      </c>
      <c r="E2" t="s">
        <v>153</v>
      </c>
      <c r="F2">
        <v>2015</v>
      </c>
      <c r="G2">
        <v>18</v>
      </c>
      <c r="H2">
        <v>18</v>
      </c>
      <c r="I2">
        <v>0</v>
      </c>
      <c r="J2">
        <v>4</v>
      </c>
      <c r="K2">
        <v>425</v>
      </c>
      <c r="L2">
        <v>901</v>
      </c>
      <c r="M2">
        <v>100</v>
      </c>
      <c r="N2">
        <v>1</v>
      </c>
      <c r="O2">
        <v>1</v>
      </c>
      <c r="P2" t="s">
        <v>99</v>
      </c>
      <c r="Q2" t="s">
        <v>99</v>
      </c>
      <c r="R2" s="2">
        <v>1</v>
      </c>
      <c r="S2" t="s">
        <v>154</v>
      </c>
      <c r="T2" t="s">
        <v>155</v>
      </c>
      <c r="U2">
        <v>1</v>
      </c>
      <c r="V2">
        <v>1</v>
      </c>
      <c r="W2">
        <v>3</v>
      </c>
      <c r="X2" t="s">
        <v>156</v>
      </c>
      <c r="Y2">
        <v>466</v>
      </c>
      <c r="Z2">
        <v>1</v>
      </c>
      <c r="AA2" t="s">
        <v>157</v>
      </c>
      <c r="AB2">
        <v>0</v>
      </c>
      <c r="AC2">
        <v>1</v>
      </c>
      <c r="AD2">
        <v>1</v>
      </c>
      <c r="AE2">
        <v>0</v>
      </c>
      <c r="AF2">
        <v>0</v>
      </c>
      <c r="AG2">
        <v>0</v>
      </c>
      <c r="AH2">
        <v>0</v>
      </c>
      <c r="AI2">
        <v>0</v>
      </c>
      <c r="AJ2">
        <v>0</v>
      </c>
      <c r="AK2">
        <v>1</v>
      </c>
      <c r="AL2">
        <v>0</v>
      </c>
      <c r="AM2">
        <v>0</v>
      </c>
      <c r="AN2">
        <v>0</v>
      </c>
      <c r="AO2">
        <v>0</v>
      </c>
      <c r="AQ2">
        <v>0</v>
      </c>
      <c r="AR2">
        <v>0.33</v>
      </c>
      <c r="AS2">
        <v>0.33</v>
      </c>
      <c r="AT2">
        <v>0</v>
      </c>
      <c r="AU2">
        <v>0</v>
      </c>
      <c r="AV2">
        <v>0.33</v>
      </c>
      <c r="AW2">
        <v>0.67</v>
      </c>
      <c r="AX2" s="2">
        <v>0</v>
      </c>
    </row>
    <row r="3" spans="1:50" x14ac:dyDescent="0.2">
      <c r="A3" t="s">
        <v>759</v>
      </c>
      <c r="B3" s="11" t="s">
        <v>158</v>
      </c>
      <c r="C3" t="s">
        <v>82</v>
      </c>
      <c r="D3" t="s">
        <v>118</v>
      </c>
      <c r="E3" t="s">
        <v>159</v>
      </c>
      <c r="F3">
        <v>2013</v>
      </c>
      <c r="G3">
        <v>96</v>
      </c>
      <c r="H3">
        <v>96</v>
      </c>
      <c r="I3">
        <v>0</v>
      </c>
      <c r="J3">
        <v>9</v>
      </c>
      <c r="K3">
        <v>522</v>
      </c>
      <c r="L3">
        <v>1200</v>
      </c>
      <c r="M3">
        <v>50</v>
      </c>
      <c r="N3">
        <v>1</v>
      </c>
      <c r="O3">
        <v>1</v>
      </c>
      <c r="P3" t="s">
        <v>119</v>
      </c>
      <c r="Q3" t="s">
        <v>119</v>
      </c>
      <c r="R3" s="2">
        <v>0</v>
      </c>
      <c r="T3" t="s">
        <v>139</v>
      </c>
      <c r="U3">
        <v>1</v>
      </c>
      <c r="V3">
        <v>1</v>
      </c>
      <c r="W3">
        <v>2</v>
      </c>
      <c r="X3" t="s">
        <v>124</v>
      </c>
      <c r="Y3">
        <v>3055</v>
      </c>
      <c r="Z3">
        <v>1</v>
      </c>
      <c r="AA3" t="s">
        <v>113</v>
      </c>
      <c r="AB3">
        <v>1</v>
      </c>
      <c r="AC3">
        <v>1</v>
      </c>
      <c r="AD3">
        <v>1</v>
      </c>
      <c r="AE3">
        <v>0</v>
      </c>
      <c r="AF3">
        <v>0</v>
      </c>
      <c r="AG3">
        <v>0</v>
      </c>
      <c r="AH3">
        <v>0</v>
      </c>
      <c r="AI3">
        <v>1</v>
      </c>
      <c r="AJ3">
        <v>1</v>
      </c>
      <c r="AK3">
        <v>0</v>
      </c>
      <c r="AL3">
        <v>1</v>
      </c>
      <c r="AM3">
        <v>0</v>
      </c>
      <c r="AN3">
        <v>0</v>
      </c>
      <c r="AO3">
        <v>1</v>
      </c>
      <c r="AQ3">
        <v>1</v>
      </c>
      <c r="AR3">
        <v>1</v>
      </c>
      <c r="AS3">
        <v>1</v>
      </c>
      <c r="AT3">
        <v>1</v>
      </c>
      <c r="AU3">
        <v>0</v>
      </c>
      <c r="AV3">
        <v>0.67</v>
      </c>
      <c r="AW3">
        <v>1</v>
      </c>
      <c r="AX3" s="2">
        <v>0</v>
      </c>
    </row>
    <row r="4" spans="1:50" x14ac:dyDescent="0.2">
      <c r="A4" t="s">
        <v>754</v>
      </c>
      <c r="B4" s="11" t="s">
        <v>160</v>
      </c>
      <c r="C4" t="s">
        <v>82</v>
      </c>
      <c r="D4" t="s">
        <v>140</v>
      </c>
      <c r="E4" t="s">
        <v>161</v>
      </c>
      <c r="F4">
        <v>2015</v>
      </c>
      <c r="G4">
        <v>108</v>
      </c>
      <c r="H4">
        <v>108</v>
      </c>
      <c r="I4">
        <v>0</v>
      </c>
      <c r="J4">
        <v>10</v>
      </c>
      <c r="K4">
        <v>436</v>
      </c>
      <c r="L4">
        <v>1001</v>
      </c>
      <c r="M4">
        <v>102</v>
      </c>
      <c r="N4">
        <v>1</v>
      </c>
      <c r="O4">
        <v>99</v>
      </c>
      <c r="P4" t="s">
        <v>162</v>
      </c>
      <c r="Q4" s="2" t="s">
        <v>88</v>
      </c>
      <c r="R4" s="2">
        <v>0</v>
      </c>
      <c r="T4" t="s">
        <v>141</v>
      </c>
      <c r="U4">
        <v>1</v>
      </c>
      <c r="V4">
        <v>1</v>
      </c>
      <c r="W4">
        <v>99</v>
      </c>
      <c r="X4" t="s">
        <v>163</v>
      </c>
      <c r="Y4">
        <v>995</v>
      </c>
      <c r="Z4">
        <v>1</v>
      </c>
      <c r="AA4" t="s">
        <v>164</v>
      </c>
      <c r="AB4">
        <v>0</v>
      </c>
      <c r="AC4">
        <v>1</v>
      </c>
      <c r="AD4">
        <v>0</v>
      </c>
      <c r="AE4">
        <v>0</v>
      </c>
      <c r="AF4">
        <v>0</v>
      </c>
      <c r="AG4">
        <v>0</v>
      </c>
      <c r="AH4">
        <v>0</v>
      </c>
      <c r="AI4">
        <v>1</v>
      </c>
      <c r="AJ4">
        <v>1</v>
      </c>
      <c r="AK4">
        <v>0</v>
      </c>
      <c r="AL4">
        <v>0</v>
      </c>
      <c r="AM4">
        <v>0</v>
      </c>
      <c r="AN4">
        <v>0</v>
      </c>
      <c r="AO4">
        <v>1</v>
      </c>
      <c r="AQ4">
        <v>1</v>
      </c>
      <c r="AR4">
        <v>0.67</v>
      </c>
      <c r="AS4">
        <v>1</v>
      </c>
      <c r="AT4">
        <v>0.67</v>
      </c>
      <c r="AU4">
        <v>0</v>
      </c>
      <c r="AV4">
        <v>1</v>
      </c>
      <c r="AW4">
        <v>1</v>
      </c>
      <c r="AX4" s="2">
        <v>1</v>
      </c>
    </row>
    <row r="5" spans="1:50" x14ac:dyDescent="0.2">
      <c r="A5" t="s">
        <v>730</v>
      </c>
      <c r="B5" s="11" t="s">
        <v>165</v>
      </c>
      <c r="C5" t="s">
        <v>82</v>
      </c>
      <c r="D5" t="s">
        <v>87</v>
      </c>
      <c r="E5" t="s">
        <v>261</v>
      </c>
      <c r="F5">
        <v>2001</v>
      </c>
      <c r="G5">
        <v>132</v>
      </c>
      <c r="H5">
        <v>168</v>
      </c>
      <c r="I5">
        <v>0</v>
      </c>
      <c r="J5">
        <v>11</v>
      </c>
      <c r="K5">
        <v>2986</v>
      </c>
      <c r="L5">
        <v>7000</v>
      </c>
      <c r="M5">
        <v>1200</v>
      </c>
      <c r="N5">
        <v>1</v>
      </c>
      <c r="O5">
        <v>1</v>
      </c>
      <c r="P5" t="s">
        <v>107</v>
      </c>
      <c r="Q5" s="2" t="s">
        <v>107</v>
      </c>
      <c r="R5" s="2">
        <v>0</v>
      </c>
      <c r="T5" t="s">
        <v>167</v>
      </c>
      <c r="U5">
        <v>1</v>
      </c>
      <c r="V5">
        <v>1</v>
      </c>
      <c r="W5">
        <v>99</v>
      </c>
      <c r="X5" t="s">
        <v>166</v>
      </c>
      <c r="Y5">
        <v>1620</v>
      </c>
      <c r="Z5">
        <v>0</v>
      </c>
      <c r="AA5">
        <v>0</v>
      </c>
      <c r="AB5">
        <v>1</v>
      </c>
      <c r="AC5">
        <v>1</v>
      </c>
      <c r="AD5">
        <v>0</v>
      </c>
      <c r="AE5">
        <v>0</v>
      </c>
      <c r="AF5">
        <v>0</v>
      </c>
      <c r="AG5">
        <v>0</v>
      </c>
      <c r="AH5">
        <v>0</v>
      </c>
      <c r="AI5">
        <v>0</v>
      </c>
      <c r="AJ5">
        <v>1</v>
      </c>
      <c r="AK5">
        <v>0</v>
      </c>
      <c r="AL5">
        <v>0</v>
      </c>
      <c r="AM5">
        <v>0</v>
      </c>
      <c r="AN5">
        <v>0.5</v>
      </c>
      <c r="AO5">
        <v>0</v>
      </c>
      <c r="AQ5">
        <v>1</v>
      </c>
      <c r="AR5">
        <v>0</v>
      </c>
      <c r="AS5">
        <v>1</v>
      </c>
      <c r="AT5">
        <v>0.33</v>
      </c>
      <c r="AU5">
        <v>0</v>
      </c>
      <c r="AV5">
        <v>0</v>
      </c>
      <c r="AW5">
        <v>1</v>
      </c>
      <c r="AX5" s="2">
        <v>1</v>
      </c>
    </row>
    <row r="6" spans="1:50" x14ac:dyDescent="0.2">
      <c r="A6" t="s">
        <v>286</v>
      </c>
      <c r="B6" s="11" t="s">
        <v>309</v>
      </c>
      <c r="C6" t="s">
        <v>82</v>
      </c>
      <c r="D6" t="s">
        <v>95</v>
      </c>
      <c r="E6" t="s">
        <v>381</v>
      </c>
      <c r="F6">
        <v>2020</v>
      </c>
      <c r="G6">
        <v>13</v>
      </c>
      <c r="H6">
        <v>61</v>
      </c>
      <c r="I6">
        <v>1</v>
      </c>
      <c r="J6">
        <v>50</v>
      </c>
      <c r="K6">
        <v>6564</v>
      </c>
      <c r="L6">
        <v>25000</v>
      </c>
      <c r="M6">
        <v>1000</v>
      </c>
      <c r="N6">
        <v>1</v>
      </c>
      <c r="O6">
        <v>1</v>
      </c>
      <c r="P6" t="s">
        <v>122</v>
      </c>
      <c r="Q6" s="2" t="s">
        <v>108</v>
      </c>
      <c r="R6" s="2">
        <v>0</v>
      </c>
      <c r="T6" t="s">
        <v>168</v>
      </c>
      <c r="U6">
        <v>1</v>
      </c>
      <c r="V6">
        <v>1</v>
      </c>
      <c r="W6">
        <v>3</v>
      </c>
      <c r="X6" t="s">
        <v>169</v>
      </c>
      <c r="Y6">
        <v>2642</v>
      </c>
      <c r="Z6">
        <v>0</v>
      </c>
      <c r="AA6">
        <v>0</v>
      </c>
      <c r="AB6">
        <v>0</v>
      </c>
      <c r="AC6">
        <v>1</v>
      </c>
      <c r="AD6">
        <v>0</v>
      </c>
      <c r="AE6">
        <v>0</v>
      </c>
      <c r="AF6">
        <v>0</v>
      </c>
      <c r="AG6">
        <v>0</v>
      </c>
      <c r="AH6">
        <v>0</v>
      </c>
      <c r="AI6">
        <v>0</v>
      </c>
      <c r="AJ6">
        <v>0</v>
      </c>
      <c r="AK6">
        <v>0</v>
      </c>
      <c r="AL6">
        <v>0</v>
      </c>
      <c r="AM6">
        <v>0</v>
      </c>
      <c r="AN6">
        <v>0</v>
      </c>
      <c r="AO6">
        <v>0</v>
      </c>
      <c r="AQ6">
        <v>0</v>
      </c>
      <c r="AR6">
        <v>0</v>
      </c>
      <c r="AS6">
        <v>0</v>
      </c>
      <c r="AT6">
        <v>0</v>
      </c>
      <c r="AU6">
        <v>0</v>
      </c>
      <c r="AV6">
        <v>0</v>
      </c>
      <c r="AW6">
        <v>1</v>
      </c>
      <c r="AX6" s="2">
        <v>1</v>
      </c>
    </row>
    <row r="7" spans="1:50" x14ac:dyDescent="0.2">
      <c r="A7" t="s">
        <v>731</v>
      </c>
      <c r="B7" s="11" t="s">
        <v>305</v>
      </c>
      <c r="C7" t="s">
        <v>82</v>
      </c>
      <c r="D7" t="s">
        <v>170</v>
      </c>
      <c r="E7" t="s">
        <v>304</v>
      </c>
      <c r="F7">
        <v>2010</v>
      </c>
      <c r="G7">
        <v>39</v>
      </c>
      <c r="H7">
        <v>39</v>
      </c>
      <c r="I7">
        <v>0</v>
      </c>
      <c r="J7">
        <v>3</v>
      </c>
      <c r="K7">
        <v>877</v>
      </c>
      <c r="L7">
        <v>1600</v>
      </c>
      <c r="M7">
        <v>370</v>
      </c>
      <c r="N7">
        <v>1</v>
      </c>
      <c r="O7">
        <v>1</v>
      </c>
      <c r="P7" t="s">
        <v>88</v>
      </c>
      <c r="Q7" s="2" t="s">
        <v>88</v>
      </c>
      <c r="R7" s="2">
        <v>0</v>
      </c>
      <c r="T7" t="s">
        <v>94</v>
      </c>
      <c r="U7">
        <v>1</v>
      </c>
      <c r="V7">
        <v>1</v>
      </c>
      <c r="W7">
        <v>99</v>
      </c>
      <c r="X7" t="s">
        <v>171</v>
      </c>
      <c r="Y7">
        <v>4000</v>
      </c>
      <c r="Z7">
        <v>0</v>
      </c>
      <c r="AA7" t="s">
        <v>113</v>
      </c>
      <c r="AB7">
        <v>1</v>
      </c>
      <c r="AC7">
        <v>1</v>
      </c>
      <c r="AD7">
        <v>0</v>
      </c>
      <c r="AE7">
        <v>0</v>
      </c>
      <c r="AF7">
        <v>0</v>
      </c>
      <c r="AG7">
        <v>0</v>
      </c>
      <c r="AH7">
        <v>0</v>
      </c>
      <c r="AI7">
        <v>0</v>
      </c>
      <c r="AJ7">
        <v>1</v>
      </c>
      <c r="AK7">
        <v>0</v>
      </c>
      <c r="AL7">
        <v>0</v>
      </c>
      <c r="AM7">
        <v>0</v>
      </c>
      <c r="AN7">
        <v>0</v>
      </c>
      <c r="AO7">
        <v>0</v>
      </c>
      <c r="AQ7">
        <v>1</v>
      </c>
      <c r="AR7">
        <v>0.33</v>
      </c>
      <c r="AS7">
        <v>1</v>
      </c>
      <c r="AT7">
        <v>0</v>
      </c>
      <c r="AU7">
        <v>0</v>
      </c>
      <c r="AV7">
        <v>1</v>
      </c>
      <c r="AW7">
        <v>1</v>
      </c>
      <c r="AX7" s="2">
        <v>0</v>
      </c>
    </row>
    <row r="8" spans="1:50" x14ac:dyDescent="0.2">
      <c r="A8" t="s">
        <v>732</v>
      </c>
      <c r="B8" s="11" t="s">
        <v>292</v>
      </c>
      <c r="C8" t="s">
        <v>82</v>
      </c>
      <c r="D8" t="s">
        <v>123</v>
      </c>
      <c r="E8" t="s">
        <v>172</v>
      </c>
      <c r="F8">
        <v>2015</v>
      </c>
      <c r="G8">
        <v>2</v>
      </c>
      <c r="H8">
        <v>2</v>
      </c>
      <c r="I8">
        <v>0</v>
      </c>
      <c r="J8">
        <v>4</v>
      </c>
      <c r="K8">
        <v>788</v>
      </c>
      <c r="L8">
        <v>1500</v>
      </c>
      <c r="M8">
        <v>400</v>
      </c>
      <c r="N8">
        <v>1</v>
      </c>
      <c r="O8">
        <v>1</v>
      </c>
      <c r="P8" t="s">
        <v>88</v>
      </c>
      <c r="Q8" s="2" t="s">
        <v>88</v>
      </c>
      <c r="R8" s="2">
        <v>0</v>
      </c>
      <c r="T8" t="s">
        <v>173</v>
      </c>
      <c r="U8">
        <v>0</v>
      </c>
      <c r="V8">
        <v>0</v>
      </c>
      <c r="W8">
        <v>0</v>
      </c>
      <c r="X8" t="s">
        <v>117</v>
      </c>
      <c r="Y8">
        <v>0</v>
      </c>
      <c r="Z8">
        <v>0</v>
      </c>
      <c r="AA8">
        <v>0</v>
      </c>
      <c r="AB8">
        <v>0</v>
      </c>
      <c r="AC8">
        <v>1</v>
      </c>
      <c r="AD8">
        <v>0</v>
      </c>
      <c r="AE8">
        <v>0</v>
      </c>
      <c r="AF8">
        <v>0</v>
      </c>
      <c r="AG8">
        <v>0</v>
      </c>
      <c r="AH8">
        <v>0</v>
      </c>
      <c r="AI8">
        <v>0</v>
      </c>
      <c r="AJ8">
        <v>1</v>
      </c>
      <c r="AK8">
        <v>0</v>
      </c>
      <c r="AL8">
        <v>0</v>
      </c>
      <c r="AM8">
        <v>0</v>
      </c>
      <c r="AN8">
        <v>1</v>
      </c>
      <c r="AO8">
        <v>0</v>
      </c>
      <c r="AQ8">
        <v>1</v>
      </c>
      <c r="AR8">
        <v>0</v>
      </c>
      <c r="AS8">
        <v>1</v>
      </c>
      <c r="AT8">
        <v>0</v>
      </c>
      <c r="AU8">
        <v>0</v>
      </c>
      <c r="AV8">
        <v>0</v>
      </c>
      <c r="AW8">
        <v>0</v>
      </c>
      <c r="AX8" s="2">
        <v>0</v>
      </c>
    </row>
    <row r="9" spans="1:50" x14ac:dyDescent="0.2">
      <c r="A9" t="s">
        <v>762</v>
      </c>
      <c r="B9" s="11" t="s">
        <v>174</v>
      </c>
      <c r="C9" t="s">
        <v>82</v>
      </c>
      <c r="D9" s="14" t="s">
        <v>150</v>
      </c>
      <c r="E9" t="s">
        <v>175</v>
      </c>
      <c r="F9">
        <v>1999</v>
      </c>
      <c r="G9">
        <v>28</v>
      </c>
      <c r="H9">
        <v>28</v>
      </c>
      <c r="I9">
        <v>0</v>
      </c>
      <c r="J9">
        <v>11</v>
      </c>
      <c r="K9">
        <v>1078</v>
      </c>
      <c r="L9">
        <v>6000</v>
      </c>
      <c r="M9">
        <v>150</v>
      </c>
      <c r="N9">
        <v>1</v>
      </c>
      <c r="O9">
        <v>99</v>
      </c>
      <c r="P9" s="2" t="s">
        <v>176</v>
      </c>
      <c r="Q9" s="2" t="s">
        <v>88</v>
      </c>
      <c r="R9" s="2">
        <v>1</v>
      </c>
      <c r="S9" t="s">
        <v>177</v>
      </c>
      <c r="T9" t="s">
        <v>93</v>
      </c>
      <c r="U9">
        <v>1</v>
      </c>
      <c r="V9">
        <v>1</v>
      </c>
      <c r="W9">
        <v>4</v>
      </c>
      <c r="X9" t="s">
        <v>178</v>
      </c>
      <c r="Y9">
        <v>2690</v>
      </c>
      <c r="Z9">
        <v>1</v>
      </c>
      <c r="AA9" t="s">
        <v>179</v>
      </c>
      <c r="AB9">
        <v>0</v>
      </c>
      <c r="AC9">
        <v>1</v>
      </c>
      <c r="AD9">
        <v>1</v>
      </c>
      <c r="AE9">
        <v>1</v>
      </c>
      <c r="AF9">
        <v>1</v>
      </c>
      <c r="AG9">
        <v>1</v>
      </c>
      <c r="AH9">
        <v>0</v>
      </c>
      <c r="AI9">
        <v>0.5</v>
      </c>
      <c r="AJ9">
        <v>0</v>
      </c>
      <c r="AK9">
        <v>0</v>
      </c>
      <c r="AL9">
        <v>0</v>
      </c>
      <c r="AM9">
        <v>0</v>
      </c>
      <c r="AN9">
        <v>0</v>
      </c>
      <c r="AO9">
        <v>0.5</v>
      </c>
      <c r="AQ9">
        <v>0</v>
      </c>
      <c r="AR9">
        <v>0</v>
      </c>
      <c r="AS9">
        <v>0</v>
      </c>
      <c r="AT9">
        <v>0</v>
      </c>
      <c r="AU9">
        <v>1</v>
      </c>
      <c r="AV9">
        <v>1</v>
      </c>
      <c r="AW9">
        <v>0</v>
      </c>
      <c r="AX9" s="2">
        <v>1</v>
      </c>
    </row>
    <row r="10" spans="1:50" x14ac:dyDescent="0.2">
      <c r="A10" t="s">
        <v>763</v>
      </c>
      <c r="B10" s="11" t="s">
        <v>180</v>
      </c>
      <c r="C10" t="s">
        <v>82</v>
      </c>
      <c r="D10" s="14" t="s">
        <v>150</v>
      </c>
      <c r="E10" t="s">
        <v>131</v>
      </c>
      <c r="F10">
        <v>2004</v>
      </c>
      <c r="G10">
        <v>28</v>
      </c>
      <c r="H10">
        <v>28</v>
      </c>
      <c r="I10">
        <v>0</v>
      </c>
      <c r="J10">
        <v>15</v>
      </c>
      <c r="K10">
        <v>949</v>
      </c>
      <c r="L10">
        <v>3500</v>
      </c>
      <c r="M10">
        <v>120</v>
      </c>
      <c r="N10">
        <v>1</v>
      </c>
      <c r="O10">
        <v>99</v>
      </c>
      <c r="P10" t="s">
        <v>181</v>
      </c>
      <c r="Q10" s="2" t="s">
        <v>88</v>
      </c>
      <c r="R10" s="2">
        <v>0</v>
      </c>
      <c r="T10" t="s">
        <v>93</v>
      </c>
      <c r="U10">
        <v>1</v>
      </c>
      <c r="V10">
        <v>1</v>
      </c>
      <c r="W10">
        <v>4</v>
      </c>
      <c r="X10" t="s">
        <v>182</v>
      </c>
      <c r="Y10">
        <v>2779</v>
      </c>
      <c r="Z10">
        <v>0.6</v>
      </c>
      <c r="AA10" t="s">
        <v>183</v>
      </c>
      <c r="AB10">
        <v>0.1</v>
      </c>
      <c r="AC10">
        <v>1</v>
      </c>
      <c r="AD10">
        <v>1</v>
      </c>
      <c r="AE10">
        <v>1</v>
      </c>
      <c r="AF10">
        <v>1</v>
      </c>
      <c r="AG10">
        <v>0</v>
      </c>
      <c r="AH10">
        <v>0</v>
      </c>
      <c r="AI10">
        <v>1</v>
      </c>
      <c r="AJ10">
        <v>0</v>
      </c>
      <c r="AK10">
        <v>0</v>
      </c>
      <c r="AL10">
        <v>0</v>
      </c>
      <c r="AM10">
        <v>0</v>
      </c>
      <c r="AN10">
        <v>0</v>
      </c>
      <c r="AO10">
        <v>1</v>
      </c>
      <c r="AQ10">
        <v>1</v>
      </c>
      <c r="AR10">
        <v>0</v>
      </c>
      <c r="AS10">
        <v>1</v>
      </c>
      <c r="AT10">
        <v>0</v>
      </c>
      <c r="AU10">
        <v>0.33</v>
      </c>
      <c r="AV10">
        <v>1</v>
      </c>
      <c r="AW10">
        <v>0</v>
      </c>
      <c r="AX10" s="2">
        <v>1</v>
      </c>
    </row>
    <row r="11" spans="1:50" x14ac:dyDescent="0.2">
      <c r="A11" t="s">
        <v>733</v>
      </c>
      <c r="B11" s="11" t="s">
        <v>277</v>
      </c>
      <c r="C11" t="s">
        <v>82</v>
      </c>
      <c r="D11" t="s">
        <v>184</v>
      </c>
      <c r="E11" t="s">
        <v>265</v>
      </c>
      <c r="F11">
        <v>1994</v>
      </c>
      <c r="G11">
        <v>60</v>
      </c>
      <c r="H11">
        <v>84</v>
      </c>
      <c r="I11">
        <v>0</v>
      </c>
      <c r="J11">
        <v>4</v>
      </c>
      <c r="K11">
        <v>1575</v>
      </c>
      <c r="L11">
        <v>5000</v>
      </c>
      <c r="M11">
        <v>900</v>
      </c>
      <c r="N11">
        <v>1</v>
      </c>
      <c r="O11">
        <v>99</v>
      </c>
      <c r="P11" s="2" t="s">
        <v>185</v>
      </c>
      <c r="Q11" s="2" t="s">
        <v>85</v>
      </c>
      <c r="R11" s="2">
        <v>1</v>
      </c>
      <c r="S11" t="s">
        <v>186</v>
      </c>
      <c r="T11" t="s">
        <v>84</v>
      </c>
      <c r="U11">
        <v>1</v>
      </c>
      <c r="V11">
        <v>1</v>
      </c>
      <c r="W11">
        <v>2</v>
      </c>
      <c r="X11" t="s">
        <v>187</v>
      </c>
      <c r="Y11">
        <v>2113</v>
      </c>
      <c r="Z11">
        <v>1</v>
      </c>
      <c r="AA11" t="s">
        <v>188</v>
      </c>
      <c r="AB11">
        <v>1</v>
      </c>
      <c r="AC11">
        <v>1</v>
      </c>
      <c r="AD11">
        <v>1</v>
      </c>
      <c r="AE11">
        <v>1</v>
      </c>
      <c r="AF11">
        <v>1</v>
      </c>
      <c r="AG11">
        <v>0</v>
      </c>
      <c r="AH11">
        <v>0</v>
      </c>
      <c r="AI11">
        <v>1</v>
      </c>
      <c r="AJ11">
        <v>1</v>
      </c>
      <c r="AK11">
        <v>0</v>
      </c>
      <c r="AL11">
        <v>0</v>
      </c>
      <c r="AM11">
        <v>1</v>
      </c>
      <c r="AN11">
        <v>0</v>
      </c>
      <c r="AO11">
        <v>1</v>
      </c>
      <c r="AQ11">
        <v>1</v>
      </c>
      <c r="AR11">
        <v>1</v>
      </c>
      <c r="AS11">
        <v>1</v>
      </c>
      <c r="AT11">
        <v>1</v>
      </c>
      <c r="AU11">
        <v>1</v>
      </c>
      <c r="AV11">
        <v>1</v>
      </c>
      <c r="AW11">
        <v>0</v>
      </c>
      <c r="AX11" s="2">
        <v>0</v>
      </c>
    </row>
    <row r="12" spans="1:50" x14ac:dyDescent="0.2">
      <c r="A12" t="s">
        <v>734</v>
      </c>
      <c r="B12" s="11" t="s">
        <v>280</v>
      </c>
      <c r="C12" t="s">
        <v>82</v>
      </c>
      <c r="D12" t="s">
        <v>83</v>
      </c>
      <c r="E12" t="s">
        <v>131</v>
      </c>
      <c r="F12">
        <v>2004</v>
      </c>
      <c r="G12">
        <v>36</v>
      </c>
      <c r="H12">
        <v>36</v>
      </c>
      <c r="I12">
        <v>0</v>
      </c>
      <c r="J12">
        <v>4</v>
      </c>
      <c r="K12">
        <v>2175</v>
      </c>
      <c r="L12">
        <v>3000</v>
      </c>
      <c r="M12">
        <v>500</v>
      </c>
      <c r="N12">
        <v>1</v>
      </c>
      <c r="O12">
        <v>3</v>
      </c>
      <c r="P12" t="s">
        <v>189</v>
      </c>
      <c r="Q12" s="2" t="s">
        <v>190</v>
      </c>
      <c r="R12" s="2">
        <v>0</v>
      </c>
      <c r="T12" t="s">
        <v>84</v>
      </c>
      <c r="U12">
        <v>1</v>
      </c>
      <c r="V12">
        <v>1</v>
      </c>
      <c r="W12">
        <v>99</v>
      </c>
      <c r="X12" t="s">
        <v>191</v>
      </c>
      <c r="Y12">
        <v>550</v>
      </c>
      <c r="Z12">
        <v>0</v>
      </c>
      <c r="AA12">
        <v>0</v>
      </c>
      <c r="AB12">
        <v>1</v>
      </c>
      <c r="AC12">
        <v>1</v>
      </c>
      <c r="AD12">
        <v>0</v>
      </c>
      <c r="AE12">
        <v>1</v>
      </c>
      <c r="AF12">
        <v>1</v>
      </c>
      <c r="AG12">
        <v>0</v>
      </c>
      <c r="AH12">
        <v>0</v>
      </c>
      <c r="AI12">
        <v>0</v>
      </c>
      <c r="AJ12">
        <v>1</v>
      </c>
      <c r="AK12">
        <v>0</v>
      </c>
      <c r="AL12">
        <v>1</v>
      </c>
      <c r="AM12">
        <v>1</v>
      </c>
      <c r="AN12">
        <v>0</v>
      </c>
      <c r="AO12">
        <v>0</v>
      </c>
      <c r="AQ12">
        <v>1</v>
      </c>
      <c r="AR12">
        <v>1</v>
      </c>
      <c r="AS12">
        <v>1</v>
      </c>
      <c r="AT12">
        <v>1</v>
      </c>
      <c r="AU12">
        <v>0.67</v>
      </c>
      <c r="AV12">
        <v>0</v>
      </c>
      <c r="AW12">
        <v>1</v>
      </c>
      <c r="AX12" s="2">
        <v>0</v>
      </c>
    </row>
    <row r="13" spans="1:50" x14ac:dyDescent="0.2">
      <c r="A13" t="s">
        <v>110</v>
      </c>
      <c r="B13" s="11" t="s">
        <v>201</v>
      </c>
      <c r="C13" t="s">
        <v>82</v>
      </c>
      <c r="D13" t="s">
        <v>192</v>
      </c>
      <c r="E13" t="s">
        <v>153</v>
      </c>
      <c r="F13">
        <v>2015</v>
      </c>
      <c r="G13">
        <v>12</v>
      </c>
      <c r="H13">
        <v>12</v>
      </c>
      <c r="I13">
        <v>0</v>
      </c>
      <c r="J13">
        <v>5</v>
      </c>
      <c r="K13">
        <v>1920</v>
      </c>
      <c r="L13">
        <v>5000</v>
      </c>
      <c r="M13">
        <v>400</v>
      </c>
      <c r="N13">
        <v>1</v>
      </c>
      <c r="O13">
        <v>4</v>
      </c>
      <c r="P13" t="s">
        <v>193</v>
      </c>
      <c r="Q13" s="2" t="s">
        <v>110</v>
      </c>
      <c r="R13" s="2">
        <v>0</v>
      </c>
      <c r="S13" t="s">
        <v>194</v>
      </c>
      <c r="T13" t="s">
        <v>111</v>
      </c>
      <c r="U13">
        <v>1</v>
      </c>
      <c r="V13">
        <v>1</v>
      </c>
      <c r="W13">
        <v>99</v>
      </c>
      <c r="X13" t="s">
        <v>195</v>
      </c>
      <c r="Y13">
        <v>4050</v>
      </c>
      <c r="Z13">
        <v>1</v>
      </c>
      <c r="AA13" t="s">
        <v>196</v>
      </c>
      <c r="AB13">
        <v>1</v>
      </c>
      <c r="AC13">
        <v>1</v>
      </c>
      <c r="AD13">
        <v>1</v>
      </c>
      <c r="AE13">
        <v>1</v>
      </c>
      <c r="AF13">
        <v>1</v>
      </c>
      <c r="AG13">
        <v>0</v>
      </c>
      <c r="AH13">
        <v>1</v>
      </c>
      <c r="AI13">
        <v>1</v>
      </c>
      <c r="AJ13">
        <v>1</v>
      </c>
      <c r="AK13">
        <v>0</v>
      </c>
      <c r="AL13">
        <v>0</v>
      </c>
      <c r="AM13">
        <v>1</v>
      </c>
      <c r="AN13">
        <v>0.5</v>
      </c>
      <c r="AO13">
        <v>1</v>
      </c>
      <c r="AQ13">
        <v>1</v>
      </c>
      <c r="AR13">
        <v>0</v>
      </c>
      <c r="AS13">
        <v>1</v>
      </c>
      <c r="AT13">
        <v>1</v>
      </c>
      <c r="AU13">
        <v>0.33</v>
      </c>
      <c r="AV13">
        <v>0</v>
      </c>
      <c r="AW13">
        <v>1</v>
      </c>
      <c r="AX13" s="2">
        <v>0</v>
      </c>
    </row>
    <row r="14" spans="1:50" x14ac:dyDescent="0.2">
      <c r="A14" t="s">
        <v>735</v>
      </c>
      <c r="B14" s="11" t="s">
        <v>279</v>
      </c>
      <c r="C14" t="s">
        <v>82</v>
      </c>
      <c r="D14" t="s">
        <v>92</v>
      </c>
      <c r="E14" t="s">
        <v>278</v>
      </c>
      <c r="F14">
        <v>2016</v>
      </c>
      <c r="G14">
        <v>12</v>
      </c>
      <c r="H14">
        <v>12</v>
      </c>
      <c r="I14">
        <v>0</v>
      </c>
      <c r="J14">
        <v>30</v>
      </c>
      <c r="K14">
        <v>1066</v>
      </c>
      <c r="L14">
        <v>15000</v>
      </c>
      <c r="M14">
        <v>150</v>
      </c>
      <c r="N14">
        <v>1</v>
      </c>
      <c r="O14">
        <v>1</v>
      </c>
      <c r="P14" t="s">
        <v>121</v>
      </c>
      <c r="Q14" s="2" t="s">
        <v>121</v>
      </c>
      <c r="R14" s="2">
        <v>0</v>
      </c>
      <c r="T14" t="s">
        <v>109</v>
      </c>
      <c r="U14">
        <v>1</v>
      </c>
      <c r="V14">
        <v>1</v>
      </c>
      <c r="W14">
        <v>99</v>
      </c>
      <c r="X14" t="s">
        <v>197</v>
      </c>
      <c r="Y14">
        <v>4411</v>
      </c>
      <c r="Z14">
        <v>0</v>
      </c>
      <c r="AA14" t="s">
        <v>198</v>
      </c>
      <c r="AB14">
        <v>0</v>
      </c>
      <c r="AC14">
        <v>1</v>
      </c>
      <c r="AD14">
        <v>0</v>
      </c>
      <c r="AE14">
        <v>0</v>
      </c>
      <c r="AF14">
        <v>0</v>
      </c>
      <c r="AG14">
        <v>0</v>
      </c>
      <c r="AH14">
        <v>0</v>
      </c>
      <c r="AI14">
        <v>1</v>
      </c>
      <c r="AJ14">
        <v>0</v>
      </c>
      <c r="AK14">
        <v>0</v>
      </c>
      <c r="AL14">
        <v>0</v>
      </c>
      <c r="AM14">
        <v>0</v>
      </c>
      <c r="AN14">
        <v>1</v>
      </c>
      <c r="AO14">
        <v>1</v>
      </c>
      <c r="AQ14">
        <v>1</v>
      </c>
      <c r="AR14">
        <v>0.33</v>
      </c>
      <c r="AS14">
        <v>1</v>
      </c>
      <c r="AT14">
        <v>0</v>
      </c>
      <c r="AU14">
        <v>0</v>
      </c>
      <c r="AV14">
        <v>0</v>
      </c>
      <c r="AW14">
        <v>1</v>
      </c>
      <c r="AX14" s="2">
        <v>1</v>
      </c>
    </row>
    <row r="15" spans="1:50" x14ac:dyDescent="0.2">
      <c r="A15" t="s">
        <v>736</v>
      </c>
      <c r="B15" s="11" t="s">
        <v>199</v>
      </c>
      <c r="C15" t="s">
        <v>82</v>
      </c>
      <c r="D15" t="s">
        <v>133</v>
      </c>
      <c r="E15" t="s">
        <v>200</v>
      </c>
      <c r="F15">
        <v>2014</v>
      </c>
      <c r="G15">
        <v>14</v>
      </c>
      <c r="H15">
        <v>14</v>
      </c>
      <c r="I15">
        <v>0</v>
      </c>
      <c r="J15">
        <v>4</v>
      </c>
      <c r="K15">
        <v>1106</v>
      </c>
      <c r="L15">
        <v>1800</v>
      </c>
      <c r="M15">
        <v>200</v>
      </c>
      <c r="N15">
        <v>1</v>
      </c>
      <c r="O15">
        <v>1</v>
      </c>
      <c r="P15" t="s">
        <v>134</v>
      </c>
      <c r="Q15" s="2" t="s">
        <v>88</v>
      </c>
      <c r="R15" s="2">
        <v>0</v>
      </c>
      <c r="T15" s="2" t="s">
        <v>135</v>
      </c>
      <c r="U15">
        <v>1</v>
      </c>
      <c r="V15">
        <v>1</v>
      </c>
      <c r="W15">
        <v>3</v>
      </c>
      <c r="X15" t="s">
        <v>136</v>
      </c>
      <c r="Y15">
        <v>1500</v>
      </c>
      <c r="Z15">
        <v>0</v>
      </c>
      <c r="AA15">
        <v>0</v>
      </c>
      <c r="AB15">
        <v>0.6</v>
      </c>
      <c r="AC15">
        <v>1</v>
      </c>
      <c r="AD15">
        <v>1</v>
      </c>
      <c r="AE15">
        <v>0</v>
      </c>
      <c r="AF15">
        <v>0</v>
      </c>
      <c r="AG15">
        <v>0</v>
      </c>
      <c r="AH15">
        <v>0</v>
      </c>
      <c r="AI15">
        <v>0.75</v>
      </c>
      <c r="AJ15">
        <v>1</v>
      </c>
      <c r="AK15">
        <v>0</v>
      </c>
      <c r="AL15">
        <v>0</v>
      </c>
      <c r="AM15">
        <v>0</v>
      </c>
      <c r="AN15">
        <v>0</v>
      </c>
      <c r="AO15">
        <v>0.75</v>
      </c>
      <c r="AQ15">
        <v>1</v>
      </c>
      <c r="AR15">
        <v>0</v>
      </c>
      <c r="AS15">
        <v>1</v>
      </c>
      <c r="AT15">
        <v>0</v>
      </c>
      <c r="AU15">
        <v>0</v>
      </c>
      <c r="AV15">
        <v>0</v>
      </c>
      <c r="AW15">
        <v>1</v>
      </c>
      <c r="AX15" s="2">
        <v>0</v>
      </c>
    </row>
    <row r="16" spans="1:50" x14ac:dyDescent="0.2">
      <c r="A16" t="s">
        <v>737</v>
      </c>
      <c r="B16" s="11" t="s">
        <v>310</v>
      </c>
      <c r="C16" t="s">
        <v>90</v>
      </c>
      <c r="D16" t="s">
        <v>98</v>
      </c>
      <c r="E16" t="s">
        <v>380</v>
      </c>
      <c r="F16">
        <v>2020</v>
      </c>
      <c r="G16">
        <v>300</v>
      </c>
      <c r="H16">
        <v>852</v>
      </c>
      <c r="I16">
        <v>1</v>
      </c>
      <c r="J16">
        <v>25</v>
      </c>
      <c r="K16" t="s">
        <v>117</v>
      </c>
      <c r="L16" t="s">
        <v>117</v>
      </c>
      <c r="M16" t="s">
        <v>117</v>
      </c>
      <c r="N16">
        <v>1</v>
      </c>
      <c r="O16">
        <v>99</v>
      </c>
      <c r="P16" s="2" t="s">
        <v>137</v>
      </c>
      <c r="Q16" s="2" t="s">
        <v>137</v>
      </c>
      <c r="R16" s="2">
        <v>0</v>
      </c>
      <c r="T16" t="s">
        <v>202</v>
      </c>
      <c r="U16">
        <v>1</v>
      </c>
      <c r="V16">
        <v>1</v>
      </c>
      <c r="W16">
        <v>2</v>
      </c>
      <c r="X16" t="s">
        <v>203</v>
      </c>
      <c r="Y16">
        <v>1158</v>
      </c>
      <c r="Z16">
        <v>0</v>
      </c>
      <c r="AA16">
        <v>0</v>
      </c>
      <c r="AB16">
        <v>0</v>
      </c>
      <c r="AC16">
        <v>1</v>
      </c>
      <c r="AD16">
        <v>0</v>
      </c>
      <c r="AE16">
        <v>0</v>
      </c>
      <c r="AF16">
        <v>0</v>
      </c>
      <c r="AG16">
        <v>0</v>
      </c>
      <c r="AH16">
        <v>0</v>
      </c>
      <c r="AI16">
        <v>0</v>
      </c>
      <c r="AJ16">
        <v>0</v>
      </c>
      <c r="AK16">
        <v>0</v>
      </c>
      <c r="AL16">
        <v>0</v>
      </c>
      <c r="AM16">
        <v>0</v>
      </c>
      <c r="AN16">
        <v>0</v>
      </c>
      <c r="AO16">
        <v>0</v>
      </c>
      <c r="AQ16">
        <v>0</v>
      </c>
      <c r="AR16">
        <v>0</v>
      </c>
      <c r="AS16">
        <v>0</v>
      </c>
      <c r="AT16">
        <v>0</v>
      </c>
      <c r="AU16">
        <v>0</v>
      </c>
      <c r="AV16">
        <v>0</v>
      </c>
      <c r="AW16">
        <v>1</v>
      </c>
      <c r="AX16" s="2">
        <v>1</v>
      </c>
    </row>
    <row r="17" spans="1:50" x14ac:dyDescent="0.2">
      <c r="A17" t="s">
        <v>755</v>
      </c>
      <c r="B17" s="11" t="s">
        <v>377</v>
      </c>
      <c r="C17" t="s">
        <v>82</v>
      </c>
      <c r="D17" t="s">
        <v>114</v>
      </c>
      <c r="E17" t="s">
        <v>379</v>
      </c>
      <c r="F17">
        <v>2020</v>
      </c>
      <c r="G17">
        <v>180</v>
      </c>
      <c r="H17">
        <v>216</v>
      </c>
      <c r="I17">
        <v>1</v>
      </c>
      <c r="J17">
        <v>16</v>
      </c>
      <c r="K17">
        <v>530</v>
      </c>
      <c r="L17">
        <v>1300</v>
      </c>
      <c r="M17">
        <v>30</v>
      </c>
      <c r="N17">
        <v>1</v>
      </c>
      <c r="O17">
        <v>99</v>
      </c>
      <c r="P17" s="2" t="s">
        <v>378</v>
      </c>
      <c r="Q17" s="2" t="s">
        <v>88</v>
      </c>
      <c r="R17" s="2">
        <v>0</v>
      </c>
      <c r="T17" t="s">
        <v>204</v>
      </c>
      <c r="U17">
        <v>1</v>
      </c>
      <c r="V17">
        <v>1</v>
      </c>
      <c r="W17">
        <v>99</v>
      </c>
      <c r="X17" t="s">
        <v>205</v>
      </c>
      <c r="Y17">
        <v>5314</v>
      </c>
      <c r="Z17">
        <v>1</v>
      </c>
      <c r="AA17" t="s">
        <v>206</v>
      </c>
      <c r="AB17">
        <v>0</v>
      </c>
      <c r="AC17">
        <v>1</v>
      </c>
      <c r="AD17">
        <v>0</v>
      </c>
      <c r="AE17">
        <v>0</v>
      </c>
      <c r="AF17">
        <v>0</v>
      </c>
      <c r="AG17">
        <v>0</v>
      </c>
      <c r="AH17">
        <v>0</v>
      </c>
      <c r="AI17">
        <v>1</v>
      </c>
      <c r="AJ17">
        <v>0</v>
      </c>
      <c r="AK17">
        <v>0</v>
      </c>
      <c r="AL17">
        <v>0</v>
      </c>
      <c r="AM17">
        <v>0</v>
      </c>
      <c r="AN17">
        <v>0</v>
      </c>
      <c r="AO17">
        <v>1</v>
      </c>
      <c r="AQ17">
        <v>0</v>
      </c>
      <c r="AR17">
        <v>1</v>
      </c>
      <c r="AS17">
        <v>1</v>
      </c>
      <c r="AT17">
        <v>0</v>
      </c>
      <c r="AU17">
        <v>0</v>
      </c>
      <c r="AV17">
        <v>1</v>
      </c>
      <c r="AW17">
        <v>1</v>
      </c>
      <c r="AX17" s="2">
        <v>1</v>
      </c>
    </row>
    <row r="18" spans="1:50" x14ac:dyDescent="0.2">
      <c r="A18" t="s">
        <v>738</v>
      </c>
      <c r="B18" s="11" t="s">
        <v>311</v>
      </c>
      <c r="C18" t="s">
        <v>82</v>
      </c>
      <c r="D18" t="s">
        <v>145</v>
      </c>
      <c r="E18" t="s">
        <v>312</v>
      </c>
      <c r="F18">
        <v>2020</v>
      </c>
      <c r="G18">
        <v>300</v>
      </c>
      <c r="H18">
        <v>744</v>
      </c>
      <c r="I18">
        <v>0</v>
      </c>
      <c r="J18">
        <v>25</v>
      </c>
      <c r="K18">
        <v>1205</v>
      </c>
      <c r="L18">
        <v>2000</v>
      </c>
      <c r="M18">
        <v>300</v>
      </c>
      <c r="N18">
        <v>1</v>
      </c>
      <c r="O18">
        <v>1</v>
      </c>
      <c r="P18" t="s">
        <v>146</v>
      </c>
      <c r="Q18" s="2" t="s">
        <v>675</v>
      </c>
      <c r="R18" s="2">
        <v>0</v>
      </c>
      <c r="T18" t="s">
        <v>147</v>
      </c>
      <c r="U18">
        <v>1</v>
      </c>
      <c r="V18">
        <v>1</v>
      </c>
      <c r="W18">
        <v>3</v>
      </c>
      <c r="X18" t="s">
        <v>148</v>
      </c>
      <c r="Y18">
        <v>329</v>
      </c>
      <c r="Z18">
        <v>0</v>
      </c>
      <c r="AA18">
        <v>0</v>
      </c>
      <c r="AB18">
        <v>0</v>
      </c>
      <c r="AC18">
        <v>1</v>
      </c>
      <c r="AD18">
        <v>0</v>
      </c>
      <c r="AE18">
        <v>0</v>
      </c>
      <c r="AF18">
        <v>1</v>
      </c>
      <c r="AG18">
        <v>0</v>
      </c>
      <c r="AH18">
        <v>0</v>
      </c>
      <c r="AI18">
        <v>0.75</v>
      </c>
      <c r="AJ18">
        <v>1</v>
      </c>
      <c r="AK18">
        <v>1</v>
      </c>
      <c r="AL18">
        <v>0</v>
      </c>
      <c r="AM18">
        <v>0</v>
      </c>
      <c r="AN18">
        <v>0</v>
      </c>
      <c r="AO18" s="2">
        <v>0.75</v>
      </c>
      <c r="AQ18">
        <v>0</v>
      </c>
      <c r="AR18">
        <v>0.33</v>
      </c>
      <c r="AS18">
        <v>0.33</v>
      </c>
      <c r="AT18">
        <v>0</v>
      </c>
      <c r="AU18">
        <v>0</v>
      </c>
      <c r="AV18">
        <v>0.33</v>
      </c>
      <c r="AW18">
        <v>0.33</v>
      </c>
      <c r="AX18" s="2">
        <v>1</v>
      </c>
    </row>
    <row r="19" spans="1:50" x14ac:dyDescent="0.2">
      <c r="A19" t="s">
        <v>764</v>
      </c>
      <c r="B19" s="11" t="s">
        <v>207</v>
      </c>
      <c r="C19" t="s">
        <v>78</v>
      </c>
      <c r="D19" s="14" t="s">
        <v>150</v>
      </c>
      <c r="E19" t="s">
        <v>208</v>
      </c>
      <c r="F19">
        <v>2014</v>
      </c>
      <c r="G19">
        <v>64</v>
      </c>
      <c r="H19">
        <v>64</v>
      </c>
      <c r="I19">
        <v>0</v>
      </c>
      <c r="J19">
        <v>40</v>
      </c>
      <c r="K19">
        <v>785</v>
      </c>
      <c r="L19">
        <v>3000</v>
      </c>
      <c r="M19">
        <v>150</v>
      </c>
      <c r="N19">
        <v>1</v>
      </c>
      <c r="O19">
        <v>1</v>
      </c>
      <c r="P19" t="s">
        <v>79</v>
      </c>
      <c r="Q19" s="2" t="s">
        <v>676</v>
      </c>
      <c r="R19" s="2">
        <v>1</v>
      </c>
      <c r="S19" t="s">
        <v>209</v>
      </c>
      <c r="T19" t="s">
        <v>210</v>
      </c>
      <c r="U19">
        <v>1</v>
      </c>
      <c r="V19">
        <v>1</v>
      </c>
      <c r="W19">
        <v>99</v>
      </c>
      <c r="X19" t="s">
        <v>211</v>
      </c>
      <c r="Y19">
        <v>700</v>
      </c>
      <c r="Z19">
        <v>0.25</v>
      </c>
      <c r="AA19" t="s">
        <v>212</v>
      </c>
      <c r="AB19">
        <v>0.25</v>
      </c>
      <c r="AC19">
        <v>1</v>
      </c>
      <c r="AD19">
        <v>0.5</v>
      </c>
      <c r="AE19">
        <v>1</v>
      </c>
      <c r="AF19">
        <v>0</v>
      </c>
      <c r="AG19">
        <v>0</v>
      </c>
      <c r="AH19">
        <v>1</v>
      </c>
      <c r="AI19">
        <v>0.75</v>
      </c>
      <c r="AJ19">
        <v>1</v>
      </c>
      <c r="AK19">
        <v>0</v>
      </c>
      <c r="AL19">
        <v>0</v>
      </c>
      <c r="AM19">
        <v>0.25</v>
      </c>
      <c r="AN19">
        <v>0</v>
      </c>
      <c r="AO19" s="2">
        <v>0.75</v>
      </c>
      <c r="AQ19">
        <v>1</v>
      </c>
      <c r="AR19">
        <v>0.67</v>
      </c>
      <c r="AS19">
        <v>1</v>
      </c>
      <c r="AT19">
        <v>0.33</v>
      </c>
      <c r="AU19">
        <v>0.33</v>
      </c>
      <c r="AV19">
        <v>0.33</v>
      </c>
      <c r="AW19">
        <v>1</v>
      </c>
      <c r="AX19" s="2">
        <v>1</v>
      </c>
    </row>
    <row r="20" spans="1:50" x14ac:dyDescent="0.2">
      <c r="A20" t="s">
        <v>760</v>
      </c>
      <c r="B20" s="11" t="s">
        <v>213</v>
      </c>
      <c r="C20" t="s">
        <v>82</v>
      </c>
      <c r="D20" s="14" t="s">
        <v>150</v>
      </c>
      <c r="E20" t="s">
        <v>214</v>
      </c>
      <c r="F20">
        <v>2012</v>
      </c>
      <c r="G20">
        <v>131</v>
      </c>
      <c r="H20">
        <v>131</v>
      </c>
      <c r="I20">
        <v>0</v>
      </c>
      <c r="J20">
        <v>9</v>
      </c>
      <c r="K20">
        <v>3086</v>
      </c>
      <c r="L20">
        <v>7000</v>
      </c>
      <c r="M20">
        <v>1000</v>
      </c>
      <c r="N20">
        <v>1</v>
      </c>
      <c r="O20">
        <v>4</v>
      </c>
      <c r="P20" t="s">
        <v>215</v>
      </c>
      <c r="Q20" s="2" t="s">
        <v>88</v>
      </c>
      <c r="R20" s="2">
        <v>0</v>
      </c>
      <c r="T20" t="s">
        <v>94</v>
      </c>
      <c r="U20">
        <v>0</v>
      </c>
      <c r="V20">
        <v>0</v>
      </c>
      <c r="W20">
        <v>0</v>
      </c>
      <c r="X20" t="s">
        <v>117</v>
      </c>
      <c r="Y20">
        <v>0</v>
      </c>
      <c r="Z20">
        <v>0</v>
      </c>
      <c r="AA20">
        <v>0</v>
      </c>
      <c r="AB20">
        <v>0</v>
      </c>
      <c r="AC20">
        <v>1</v>
      </c>
      <c r="AD20">
        <v>0</v>
      </c>
      <c r="AE20">
        <v>0</v>
      </c>
      <c r="AF20">
        <v>0</v>
      </c>
      <c r="AG20">
        <v>0</v>
      </c>
      <c r="AH20">
        <v>0</v>
      </c>
      <c r="AI20">
        <v>0.75</v>
      </c>
      <c r="AJ20">
        <v>1</v>
      </c>
      <c r="AK20">
        <v>1</v>
      </c>
      <c r="AL20">
        <v>0</v>
      </c>
      <c r="AM20">
        <v>0</v>
      </c>
      <c r="AN20">
        <v>0</v>
      </c>
      <c r="AO20" s="2">
        <v>0.75</v>
      </c>
      <c r="AQ20">
        <v>1</v>
      </c>
      <c r="AR20">
        <v>0</v>
      </c>
      <c r="AS20">
        <v>1</v>
      </c>
      <c r="AT20">
        <v>1</v>
      </c>
      <c r="AU20">
        <v>0</v>
      </c>
      <c r="AV20">
        <v>0</v>
      </c>
      <c r="AW20">
        <v>0.67</v>
      </c>
      <c r="AX20" s="2">
        <v>1</v>
      </c>
    </row>
    <row r="21" spans="1:50" x14ac:dyDescent="0.2">
      <c r="A21" s="15" t="s">
        <v>761</v>
      </c>
      <c r="B21" s="11" t="s">
        <v>216</v>
      </c>
      <c r="C21" t="s">
        <v>78</v>
      </c>
      <c r="D21" t="s">
        <v>217</v>
      </c>
      <c r="E21" t="s">
        <v>218</v>
      </c>
      <c r="F21">
        <v>2009</v>
      </c>
      <c r="G21">
        <v>121</v>
      </c>
      <c r="H21">
        <v>121</v>
      </c>
      <c r="I21">
        <v>0</v>
      </c>
      <c r="J21">
        <v>11</v>
      </c>
      <c r="K21">
        <v>1500</v>
      </c>
      <c r="L21">
        <v>4000</v>
      </c>
      <c r="M21">
        <v>200</v>
      </c>
      <c r="N21">
        <v>1</v>
      </c>
      <c r="O21">
        <v>1</v>
      </c>
      <c r="P21" s="2" t="s">
        <v>128</v>
      </c>
      <c r="Q21" s="2" t="s">
        <v>128</v>
      </c>
      <c r="R21" s="2">
        <v>0</v>
      </c>
      <c r="T21" t="s">
        <v>219</v>
      </c>
      <c r="U21">
        <v>0.6</v>
      </c>
      <c r="V21">
        <v>1</v>
      </c>
      <c r="W21">
        <v>3</v>
      </c>
      <c r="X21" t="s">
        <v>220</v>
      </c>
      <c r="Y21">
        <v>925</v>
      </c>
      <c r="Z21">
        <v>0</v>
      </c>
      <c r="AA21" t="s">
        <v>221</v>
      </c>
      <c r="AB21">
        <v>0</v>
      </c>
      <c r="AC21">
        <v>1</v>
      </c>
      <c r="AD21">
        <v>0</v>
      </c>
      <c r="AE21">
        <v>0</v>
      </c>
      <c r="AF21">
        <v>1</v>
      </c>
      <c r="AG21">
        <v>0</v>
      </c>
      <c r="AH21">
        <v>0</v>
      </c>
      <c r="AI21">
        <v>0</v>
      </c>
      <c r="AJ21">
        <v>1</v>
      </c>
      <c r="AK21">
        <v>1</v>
      </c>
      <c r="AL21">
        <v>0</v>
      </c>
      <c r="AM21">
        <v>0</v>
      </c>
      <c r="AN21">
        <v>0</v>
      </c>
      <c r="AO21" s="2">
        <v>0</v>
      </c>
      <c r="AQ21">
        <v>1</v>
      </c>
      <c r="AR21">
        <v>0</v>
      </c>
      <c r="AS21">
        <v>1</v>
      </c>
      <c r="AT21">
        <v>0</v>
      </c>
      <c r="AU21">
        <v>0</v>
      </c>
      <c r="AV21">
        <v>1</v>
      </c>
      <c r="AW21">
        <v>1</v>
      </c>
      <c r="AX21" s="2">
        <v>1</v>
      </c>
    </row>
    <row r="22" spans="1:50" x14ac:dyDescent="0.2">
      <c r="A22" s="15" t="s">
        <v>739</v>
      </c>
      <c r="B22" s="11" t="s">
        <v>222</v>
      </c>
      <c r="C22" t="s">
        <v>82</v>
      </c>
      <c r="D22" t="s">
        <v>132</v>
      </c>
      <c r="E22" t="s">
        <v>223</v>
      </c>
      <c r="F22">
        <v>2005</v>
      </c>
      <c r="G22">
        <v>84</v>
      </c>
      <c r="H22">
        <v>84</v>
      </c>
      <c r="I22">
        <v>0</v>
      </c>
      <c r="J22">
        <v>7</v>
      </c>
      <c r="K22">
        <v>600</v>
      </c>
      <c r="L22">
        <v>1100</v>
      </c>
      <c r="M22">
        <v>200</v>
      </c>
      <c r="N22">
        <v>1</v>
      </c>
      <c r="O22">
        <v>1</v>
      </c>
      <c r="P22" s="2" t="s">
        <v>129</v>
      </c>
      <c r="Q22" s="2" t="s">
        <v>129</v>
      </c>
      <c r="R22" s="2">
        <v>0</v>
      </c>
      <c r="T22" t="s">
        <v>130</v>
      </c>
      <c r="U22">
        <v>0</v>
      </c>
      <c r="V22">
        <v>0</v>
      </c>
      <c r="W22">
        <v>0</v>
      </c>
      <c r="X22" t="s">
        <v>117</v>
      </c>
      <c r="Y22">
        <v>0</v>
      </c>
      <c r="Z22">
        <v>0</v>
      </c>
      <c r="AA22">
        <v>0</v>
      </c>
      <c r="AB22">
        <v>0</v>
      </c>
      <c r="AC22">
        <v>0</v>
      </c>
      <c r="AD22">
        <v>0</v>
      </c>
      <c r="AE22">
        <v>0</v>
      </c>
      <c r="AF22">
        <v>0</v>
      </c>
      <c r="AG22">
        <v>0</v>
      </c>
      <c r="AH22">
        <v>0</v>
      </c>
      <c r="AI22">
        <v>0</v>
      </c>
      <c r="AJ22">
        <v>0</v>
      </c>
      <c r="AK22">
        <v>1</v>
      </c>
      <c r="AL22">
        <v>0</v>
      </c>
      <c r="AM22">
        <v>0</v>
      </c>
      <c r="AN22">
        <v>0</v>
      </c>
      <c r="AO22" s="2">
        <v>0</v>
      </c>
      <c r="AQ22">
        <v>0</v>
      </c>
      <c r="AR22">
        <v>0.33</v>
      </c>
      <c r="AS22">
        <v>0.33</v>
      </c>
      <c r="AT22">
        <v>0.33</v>
      </c>
      <c r="AU22">
        <v>0</v>
      </c>
      <c r="AV22">
        <v>0</v>
      </c>
      <c r="AW22">
        <v>0</v>
      </c>
      <c r="AX22" s="2">
        <v>0</v>
      </c>
    </row>
    <row r="23" spans="1:50" x14ac:dyDescent="0.2">
      <c r="A23" s="15" t="s">
        <v>224</v>
      </c>
      <c r="B23" s="11" t="s">
        <v>225</v>
      </c>
      <c r="C23" t="s">
        <v>78</v>
      </c>
      <c r="D23" s="14" t="s">
        <v>150</v>
      </c>
      <c r="E23" t="s">
        <v>226</v>
      </c>
      <c r="F23">
        <v>2013</v>
      </c>
      <c r="G23">
        <v>2</v>
      </c>
      <c r="H23">
        <v>2</v>
      </c>
      <c r="I23">
        <v>0</v>
      </c>
      <c r="J23">
        <v>6</v>
      </c>
      <c r="K23">
        <v>1258</v>
      </c>
      <c r="L23">
        <v>2000</v>
      </c>
      <c r="M23">
        <v>25</v>
      </c>
      <c r="N23">
        <v>1</v>
      </c>
      <c r="O23">
        <v>1</v>
      </c>
      <c r="P23" s="2" t="s">
        <v>79</v>
      </c>
      <c r="Q23" s="2" t="s">
        <v>676</v>
      </c>
      <c r="R23" s="2">
        <v>1</v>
      </c>
      <c r="S23" t="s">
        <v>80</v>
      </c>
      <c r="T23" s="2" t="s">
        <v>81</v>
      </c>
      <c r="U23">
        <v>1</v>
      </c>
      <c r="V23">
        <v>1</v>
      </c>
      <c r="W23">
        <v>4</v>
      </c>
      <c r="X23" t="s">
        <v>227</v>
      </c>
      <c r="Y23">
        <v>268</v>
      </c>
      <c r="Z23">
        <v>1</v>
      </c>
      <c r="AA23" t="s">
        <v>228</v>
      </c>
      <c r="AB23">
        <v>1</v>
      </c>
      <c r="AC23">
        <v>1</v>
      </c>
      <c r="AD23">
        <v>0</v>
      </c>
      <c r="AE23">
        <v>1</v>
      </c>
      <c r="AF23">
        <v>1</v>
      </c>
      <c r="AG23">
        <v>0</v>
      </c>
      <c r="AH23">
        <v>0</v>
      </c>
      <c r="AI23">
        <v>0</v>
      </c>
      <c r="AJ23">
        <v>1</v>
      </c>
      <c r="AK23">
        <v>1</v>
      </c>
      <c r="AL23">
        <v>0</v>
      </c>
      <c r="AM23">
        <v>0</v>
      </c>
      <c r="AN23">
        <v>0</v>
      </c>
      <c r="AO23" s="2">
        <v>0</v>
      </c>
      <c r="AQ23">
        <v>1</v>
      </c>
      <c r="AR23">
        <v>0</v>
      </c>
      <c r="AS23">
        <v>1</v>
      </c>
      <c r="AT23">
        <v>0</v>
      </c>
      <c r="AU23">
        <v>0</v>
      </c>
      <c r="AV23">
        <v>0.67</v>
      </c>
      <c r="AW23">
        <v>1</v>
      </c>
      <c r="AX23" s="2">
        <v>0</v>
      </c>
    </row>
    <row r="24" spans="1:50" x14ac:dyDescent="0.2">
      <c r="A24" s="15" t="s">
        <v>740</v>
      </c>
      <c r="B24" s="11" t="s">
        <v>229</v>
      </c>
      <c r="C24" t="s">
        <v>82</v>
      </c>
      <c r="D24" t="s">
        <v>123</v>
      </c>
      <c r="E24" t="s">
        <v>230</v>
      </c>
      <c r="F24">
        <v>2013</v>
      </c>
      <c r="G24">
        <v>72</v>
      </c>
      <c r="H24">
        <v>72</v>
      </c>
      <c r="I24">
        <v>0</v>
      </c>
      <c r="J24">
        <v>4</v>
      </c>
      <c r="K24">
        <v>555</v>
      </c>
      <c r="L24">
        <v>1000</v>
      </c>
      <c r="M24">
        <v>300</v>
      </c>
      <c r="N24">
        <v>1</v>
      </c>
      <c r="O24">
        <v>1</v>
      </c>
      <c r="P24" s="2" t="s">
        <v>116</v>
      </c>
      <c r="Q24" s="2" t="s">
        <v>677</v>
      </c>
      <c r="R24" s="2">
        <v>0</v>
      </c>
      <c r="T24" t="s">
        <v>94</v>
      </c>
      <c r="U24">
        <v>0</v>
      </c>
      <c r="V24">
        <v>0</v>
      </c>
      <c r="W24">
        <v>0</v>
      </c>
      <c r="X24" t="s">
        <v>117</v>
      </c>
      <c r="Y24">
        <v>0</v>
      </c>
      <c r="Z24">
        <v>0</v>
      </c>
      <c r="AA24">
        <v>0</v>
      </c>
      <c r="AB24">
        <v>1</v>
      </c>
      <c r="AC24">
        <v>1</v>
      </c>
      <c r="AD24">
        <v>0</v>
      </c>
      <c r="AE24">
        <v>0</v>
      </c>
      <c r="AF24">
        <v>0</v>
      </c>
      <c r="AG24">
        <v>0</v>
      </c>
      <c r="AH24">
        <v>0</v>
      </c>
      <c r="AI24">
        <v>0</v>
      </c>
      <c r="AJ24">
        <v>1</v>
      </c>
      <c r="AK24">
        <v>0</v>
      </c>
      <c r="AL24">
        <v>1</v>
      </c>
      <c r="AM24">
        <v>1</v>
      </c>
      <c r="AN24">
        <v>0</v>
      </c>
      <c r="AO24" s="2">
        <v>0</v>
      </c>
      <c r="AQ24">
        <v>1</v>
      </c>
      <c r="AR24">
        <v>0</v>
      </c>
      <c r="AS24">
        <v>1</v>
      </c>
      <c r="AT24">
        <v>0</v>
      </c>
      <c r="AU24">
        <v>1</v>
      </c>
      <c r="AV24">
        <v>0</v>
      </c>
      <c r="AW24">
        <v>0</v>
      </c>
      <c r="AX24" s="2">
        <v>0</v>
      </c>
    </row>
    <row r="25" spans="1:50" x14ac:dyDescent="0.2">
      <c r="A25" s="15" t="s">
        <v>741</v>
      </c>
      <c r="B25" s="11" t="s">
        <v>315</v>
      </c>
      <c r="C25" t="s">
        <v>82</v>
      </c>
      <c r="D25" s="14" t="s">
        <v>150</v>
      </c>
      <c r="E25" t="s">
        <v>316</v>
      </c>
      <c r="F25">
        <v>2020</v>
      </c>
      <c r="G25">
        <v>132</v>
      </c>
      <c r="H25">
        <v>132</v>
      </c>
      <c r="I25">
        <v>0</v>
      </c>
      <c r="J25">
        <v>12</v>
      </c>
      <c r="K25">
        <v>561</v>
      </c>
      <c r="L25">
        <v>1000</v>
      </c>
      <c r="M25">
        <v>200</v>
      </c>
      <c r="N25">
        <v>1</v>
      </c>
      <c r="O25">
        <v>3</v>
      </c>
      <c r="P25" t="s">
        <v>231</v>
      </c>
      <c r="Q25" s="2" t="s">
        <v>678</v>
      </c>
      <c r="R25" s="2">
        <v>0</v>
      </c>
      <c r="T25" t="s">
        <v>103</v>
      </c>
      <c r="U25">
        <v>1</v>
      </c>
      <c r="V25">
        <v>1</v>
      </c>
      <c r="W25">
        <v>4</v>
      </c>
      <c r="X25" t="s">
        <v>232</v>
      </c>
      <c r="Y25">
        <v>3514</v>
      </c>
      <c r="Z25">
        <v>1</v>
      </c>
      <c r="AA25" t="s">
        <v>233</v>
      </c>
      <c r="AB25">
        <v>0</v>
      </c>
      <c r="AC25">
        <v>1</v>
      </c>
      <c r="AD25">
        <v>0</v>
      </c>
      <c r="AE25">
        <v>0</v>
      </c>
      <c r="AF25">
        <v>1</v>
      </c>
      <c r="AG25">
        <v>0</v>
      </c>
      <c r="AH25">
        <v>0</v>
      </c>
      <c r="AI25">
        <v>0</v>
      </c>
      <c r="AJ25">
        <v>0</v>
      </c>
      <c r="AK25">
        <v>0</v>
      </c>
      <c r="AL25">
        <v>0</v>
      </c>
      <c r="AM25">
        <v>0</v>
      </c>
      <c r="AN25">
        <v>0</v>
      </c>
      <c r="AO25" s="2">
        <v>0</v>
      </c>
      <c r="AQ25">
        <v>1</v>
      </c>
      <c r="AR25">
        <v>1</v>
      </c>
      <c r="AS25">
        <v>1</v>
      </c>
      <c r="AT25">
        <v>1</v>
      </c>
      <c r="AU25">
        <v>0</v>
      </c>
      <c r="AV25">
        <v>1</v>
      </c>
      <c r="AW25">
        <v>0.33</v>
      </c>
      <c r="AX25" s="2">
        <v>1</v>
      </c>
    </row>
    <row r="26" spans="1:50" x14ac:dyDescent="0.2">
      <c r="A26" s="15" t="s">
        <v>742</v>
      </c>
      <c r="B26" s="11" t="s">
        <v>239</v>
      </c>
      <c r="C26" t="s">
        <v>90</v>
      </c>
      <c r="D26" t="s">
        <v>120</v>
      </c>
      <c r="E26" t="s">
        <v>240</v>
      </c>
      <c r="F26">
        <v>2017</v>
      </c>
      <c r="G26">
        <v>300</v>
      </c>
      <c r="H26">
        <v>708</v>
      </c>
      <c r="I26">
        <v>0</v>
      </c>
      <c r="J26">
        <v>58</v>
      </c>
      <c r="K26">
        <v>917</v>
      </c>
      <c r="L26">
        <v>5500</v>
      </c>
      <c r="M26">
        <v>30</v>
      </c>
      <c r="N26">
        <v>1</v>
      </c>
      <c r="O26">
        <v>1</v>
      </c>
      <c r="P26" t="s">
        <v>127</v>
      </c>
      <c r="Q26" t="s">
        <v>127</v>
      </c>
      <c r="R26" s="2">
        <v>0</v>
      </c>
      <c r="T26" s="2" t="s">
        <v>126</v>
      </c>
      <c r="U26">
        <v>1</v>
      </c>
      <c r="V26">
        <v>1</v>
      </c>
      <c r="W26">
        <v>1</v>
      </c>
      <c r="X26" t="s">
        <v>125</v>
      </c>
      <c r="Y26">
        <v>78</v>
      </c>
      <c r="Z26">
        <v>0</v>
      </c>
      <c r="AA26">
        <v>0</v>
      </c>
      <c r="AB26">
        <v>1</v>
      </c>
      <c r="AC26">
        <v>1</v>
      </c>
      <c r="AD26">
        <v>0</v>
      </c>
      <c r="AE26">
        <v>0</v>
      </c>
      <c r="AF26">
        <v>0</v>
      </c>
      <c r="AG26">
        <v>0</v>
      </c>
      <c r="AH26">
        <v>0</v>
      </c>
      <c r="AI26">
        <v>1</v>
      </c>
      <c r="AJ26">
        <v>0</v>
      </c>
      <c r="AK26">
        <v>1</v>
      </c>
      <c r="AL26">
        <v>0</v>
      </c>
      <c r="AM26">
        <v>1</v>
      </c>
      <c r="AN26">
        <v>0</v>
      </c>
      <c r="AO26" s="2">
        <v>1</v>
      </c>
      <c r="AQ26">
        <v>1</v>
      </c>
      <c r="AR26">
        <v>1</v>
      </c>
      <c r="AS26">
        <v>1</v>
      </c>
      <c r="AT26">
        <v>1</v>
      </c>
      <c r="AU26">
        <v>0</v>
      </c>
      <c r="AV26">
        <v>0</v>
      </c>
      <c r="AW26">
        <v>0.33</v>
      </c>
      <c r="AX26" s="2">
        <v>1</v>
      </c>
    </row>
    <row r="27" spans="1:50" x14ac:dyDescent="0.2">
      <c r="A27" s="15" t="s">
        <v>765</v>
      </c>
      <c r="B27" s="11" t="s">
        <v>241</v>
      </c>
      <c r="C27" t="s">
        <v>82</v>
      </c>
      <c r="D27" t="s">
        <v>105</v>
      </c>
      <c r="E27" t="s">
        <v>242</v>
      </c>
      <c r="F27">
        <v>1992</v>
      </c>
      <c r="G27">
        <v>24</v>
      </c>
      <c r="H27">
        <v>24</v>
      </c>
      <c r="I27">
        <v>0</v>
      </c>
      <c r="J27">
        <v>3</v>
      </c>
      <c r="K27">
        <v>542</v>
      </c>
      <c r="L27">
        <v>1000</v>
      </c>
      <c r="M27">
        <v>300</v>
      </c>
      <c r="N27">
        <v>1</v>
      </c>
      <c r="O27">
        <v>99</v>
      </c>
      <c r="P27" s="16" t="s">
        <v>243</v>
      </c>
      <c r="Q27" t="s">
        <v>112</v>
      </c>
      <c r="R27" s="2">
        <v>0</v>
      </c>
      <c r="T27" t="s">
        <v>244</v>
      </c>
      <c r="U27">
        <v>0</v>
      </c>
      <c r="V27">
        <v>0</v>
      </c>
      <c r="W27">
        <v>0</v>
      </c>
      <c r="X27" t="s">
        <v>117</v>
      </c>
      <c r="Y27">
        <v>0</v>
      </c>
      <c r="Z27">
        <v>0</v>
      </c>
      <c r="AA27">
        <v>0</v>
      </c>
      <c r="AB27">
        <v>1</v>
      </c>
      <c r="AC27">
        <v>1</v>
      </c>
      <c r="AD27">
        <v>1</v>
      </c>
      <c r="AE27">
        <v>1</v>
      </c>
      <c r="AF27">
        <v>0</v>
      </c>
      <c r="AG27">
        <v>0</v>
      </c>
      <c r="AH27">
        <v>0</v>
      </c>
      <c r="AI27">
        <v>0</v>
      </c>
      <c r="AJ27">
        <v>1</v>
      </c>
      <c r="AK27">
        <v>0</v>
      </c>
      <c r="AL27" t="s">
        <v>245</v>
      </c>
      <c r="AM27">
        <v>1</v>
      </c>
      <c r="AN27">
        <v>0</v>
      </c>
      <c r="AO27" s="2">
        <v>0</v>
      </c>
      <c r="AQ27">
        <v>1</v>
      </c>
      <c r="AR27">
        <v>0</v>
      </c>
      <c r="AS27">
        <v>1</v>
      </c>
      <c r="AT27">
        <v>0</v>
      </c>
      <c r="AU27">
        <v>1</v>
      </c>
      <c r="AV27">
        <v>0.67</v>
      </c>
      <c r="AW27">
        <v>0</v>
      </c>
      <c r="AX27" s="2">
        <v>0</v>
      </c>
    </row>
    <row r="28" spans="1:50" x14ac:dyDescent="0.2">
      <c r="A28" s="15" t="s">
        <v>766</v>
      </c>
      <c r="B28" s="11" t="s">
        <v>246</v>
      </c>
      <c r="C28" t="s">
        <v>82</v>
      </c>
      <c r="D28" t="s">
        <v>105</v>
      </c>
      <c r="E28" t="s">
        <v>247</v>
      </c>
      <c r="F28">
        <v>2007</v>
      </c>
      <c r="G28">
        <v>52</v>
      </c>
      <c r="H28">
        <v>52</v>
      </c>
      <c r="I28">
        <v>0</v>
      </c>
      <c r="J28">
        <v>7</v>
      </c>
      <c r="K28">
        <v>836</v>
      </c>
      <c r="L28">
        <v>1700</v>
      </c>
      <c r="M28">
        <v>100</v>
      </c>
      <c r="N28">
        <v>1</v>
      </c>
      <c r="O28">
        <v>99</v>
      </c>
      <c r="P28" t="s">
        <v>138</v>
      </c>
      <c r="Q28" s="2" t="s">
        <v>138</v>
      </c>
      <c r="R28" s="2">
        <v>0</v>
      </c>
      <c r="T28" t="s">
        <v>244</v>
      </c>
      <c r="U28">
        <v>1</v>
      </c>
      <c r="V28">
        <v>1</v>
      </c>
      <c r="W28">
        <v>99</v>
      </c>
      <c r="X28" t="s">
        <v>248</v>
      </c>
      <c r="Y28">
        <v>2215</v>
      </c>
      <c r="Z28">
        <v>0</v>
      </c>
      <c r="AA28">
        <v>0</v>
      </c>
      <c r="AB28">
        <v>1</v>
      </c>
      <c r="AC28">
        <v>1</v>
      </c>
      <c r="AD28">
        <v>1</v>
      </c>
      <c r="AE28">
        <v>0</v>
      </c>
      <c r="AF28">
        <v>0</v>
      </c>
      <c r="AG28">
        <v>0</v>
      </c>
      <c r="AH28">
        <v>0</v>
      </c>
      <c r="AI28">
        <v>1</v>
      </c>
      <c r="AJ28">
        <v>1</v>
      </c>
      <c r="AK28">
        <v>0</v>
      </c>
      <c r="AL28">
        <v>0</v>
      </c>
      <c r="AM28">
        <v>1</v>
      </c>
      <c r="AN28">
        <v>0</v>
      </c>
      <c r="AO28" s="2">
        <v>1</v>
      </c>
      <c r="AQ28">
        <v>1</v>
      </c>
      <c r="AR28">
        <v>0</v>
      </c>
      <c r="AS28">
        <v>1</v>
      </c>
      <c r="AT28">
        <v>1</v>
      </c>
      <c r="AU28">
        <v>0.67</v>
      </c>
      <c r="AV28">
        <v>1</v>
      </c>
      <c r="AW28">
        <v>1</v>
      </c>
      <c r="AX28" s="2">
        <v>0</v>
      </c>
    </row>
    <row r="29" spans="1:50" x14ac:dyDescent="0.2">
      <c r="A29" s="15" t="s">
        <v>743</v>
      </c>
      <c r="B29" s="11" t="s">
        <v>313</v>
      </c>
      <c r="C29" t="s">
        <v>90</v>
      </c>
      <c r="D29" t="s">
        <v>97</v>
      </c>
      <c r="E29" t="s">
        <v>382</v>
      </c>
      <c r="F29">
        <v>2020</v>
      </c>
      <c r="G29">
        <v>84</v>
      </c>
      <c r="H29">
        <v>84</v>
      </c>
      <c r="I29">
        <v>1</v>
      </c>
      <c r="J29">
        <v>7</v>
      </c>
      <c r="K29">
        <v>816</v>
      </c>
      <c r="L29">
        <v>999</v>
      </c>
      <c r="M29">
        <v>400</v>
      </c>
      <c r="N29">
        <v>1</v>
      </c>
      <c r="O29">
        <v>1</v>
      </c>
      <c r="P29" t="s">
        <v>100</v>
      </c>
      <c r="Q29" s="2" t="s">
        <v>100</v>
      </c>
      <c r="R29" s="2">
        <v>0</v>
      </c>
      <c r="T29" t="s">
        <v>249</v>
      </c>
      <c r="U29">
        <v>1</v>
      </c>
      <c r="V29">
        <v>1</v>
      </c>
      <c r="W29">
        <v>4</v>
      </c>
      <c r="X29" t="s">
        <v>250</v>
      </c>
      <c r="Y29">
        <v>5100</v>
      </c>
      <c r="Z29">
        <v>1</v>
      </c>
      <c r="AA29" t="s">
        <v>251</v>
      </c>
      <c r="AB29">
        <v>0</v>
      </c>
      <c r="AC29">
        <v>1</v>
      </c>
      <c r="AD29">
        <v>1</v>
      </c>
      <c r="AE29">
        <v>0</v>
      </c>
      <c r="AF29">
        <v>1</v>
      </c>
      <c r="AG29">
        <v>0</v>
      </c>
      <c r="AH29">
        <v>0</v>
      </c>
      <c r="AI29">
        <v>0</v>
      </c>
      <c r="AJ29">
        <v>0</v>
      </c>
      <c r="AK29">
        <v>0</v>
      </c>
      <c r="AL29">
        <v>0</v>
      </c>
      <c r="AM29">
        <v>0</v>
      </c>
      <c r="AN29">
        <v>0</v>
      </c>
      <c r="AO29" s="2">
        <v>0</v>
      </c>
      <c r="AQ29">
        <v>0</v>
      </c>
      <c r="AR29">
        <v>0</v>
      </c>
      <c r="AS29">
        <v>0</v>
      </c>
      <c r="AT29">
        <v>0</v>
      </c>
      <c r="AU29">
        <v>0</v>
      </c>
      <c r="AV29">
        <v>1</v>
      </c>
      <c r="AW29">
        <v>1</v>
      </c>
      <c r="AX29" s="2">
        <v>0</v>
      </c>
    </row>
    <row r="30" spans="1:50" x14ac:dyDescent="0.2">
      <c r="A30" s="15" t="s">
        <v>744</v>
      </c>
      <c r="B30" s="11" t="s">
        <v>252</v>
      </c>
      <c r="C30" t="s">
        <v>90</v>
      </c>
      <c r="D30" t="s">
        <v>97</v>
      </c>
      <c r="E30" t="s">
        <v>253</v>
      </c>
      <c r="F30">
        <v>2012</v>
      </c>
      <c r="G30">
        <v>264</v>
      </c>
      <c r="H30">
        <v>720</v>
      </c>
      <c r="I30">
        <v>0</v>
      </c>
      <c r="J30">
        <v>22</v>
      </c>
      <c r="K30">
        <v>2000</v>
      </c>
      <c r="L30">
        <v>3000</v>
      </c>
      <c r="M30">
        <v>2000</v>
      </c>
      <c r="N30">
        <v>1</v>
      </c>
      <c r="O30">
        <v>99</v>
      </c>
      <c r="P30" t="s">
        <v>254</v>
      </c>
      <c r="Q30" s="2" t="s">
        <v>101</v>
      </c>
      <c r="R30" s="2">
        <v>0</v>
      </c>
      <c r="T30" t="s">
        <v>102</v>
      </c>
      <c r="U30">
        <v>1</v>
      </c>
      <c r="V30">
        <v>1</v>
      </c>
      <c r="W30">
        <v>99</v>
      </c>
      <c r="X30" t="s">
        <v>258</v>
      </c>
      <c r="Y30">
        <v>2483</v>
      </c>
      <c r="Z30">
        <v>1</v>
      </c>
      <c r="AA30" t="s">
        <v>106</v>
      </c>
      <c r="AB30">
        <v>1</v>
      </c>
      <c r="AC30">
        <v>1</v>
      </c>
      <c r="AD30">
        <v>1</v>
      </c>
      <c r="AE30">
        <v>0</v>
      </c>
      <c r="AF30">
        <v>1</v>
      </c>
      <c r="AG30">
        <v>0</v>
      </c>
      <c r="AH30">
        <v>0</v>
      </c>
      <c r="AI30">
        <v>0</v>
      </c>
      <c r="AJ30">
        <v>1</v>
      </c>
      <c r="AK30">
        <v>0</v>
      </c>
      <c r="AL30" t="s">
        <v>255</v>
      </c>
      <c r="AM30">
        <v>1</v>
      </c>
      <c r="AN30">
        <v>0</v>
      </c>
      <c r="AO30" s="2">
        <v>0</v>
      </c>
      <c r="AQ30">
        <v>1</v>
      </c>
      <c r="AR30">
        <v>0</v>
      </c>
      <c r="AS30">
        <v>1</v>
      </c>
      <c r="AT30">
        <v>0</v>
      </c>
      <c r="AU30">
        <v>0</v>
      </c>
      <c r="AV30">
        <v>1</v>
      </c>
      <c r="AW30">
        <v>1</v>
      </c>
      <c r="AX30" s="2">
        <v>1</v>
      </c>
    </row>
    <row r="31" spans="1:50" x14ac:dyDescent="0.2">
      <c r="A31" s="15" t="s">
        <v>745</v>
      </c>
      <c r="B31" s="11" t="s">
        <v>291</v>
      </c>
      <c r="C31" t="s">
        <v>82</v>
      </c>
      <c r="D31" t="s">
        <v>287</v>
      </c>
      <c r="E31" t="s">
        <v>172</v>
      </c>
      <c r="F31">
        <v>2015</v>
      </c>
      <c r="G31">
        <v>4</v>
      </c>
      <c r="H31">
        <v>4</v>
      </c>
      <c r="I31">
        <v>0</v>
      </c>
      <c r="J31">
        <v>15</v>
      </c>
      <c r="K31">
        <v>578</v>
      </c>
      <c r="L31">
        <v>1500</v>
      </c>
      <c r="M31">
        <v>99</v>
      </c>
      <c r="N31">
        <v>1</v>
      </c>
      <c r="O31">
        <v>1</v>
      </c>
      <c r="P31" t="s">
        <v>290</v>
      </c>
      <c r="Q31" t="s">
        <v>288</v>
      </c>
      <c r="R31" s="2">
        <v>0</v>
      </c>
      <c r="T31" t="s">
        <v>289</v>
      </c>
      <c r="U31">
        <v>1</v>
      </c>
      <c r="V31">
        <v>1</v>
      </c>
      <c r="W31">
        <v>3</v>
      </c>
      <c r="X31" t="s">
        <v>293</v>
      </c>
      <c r="Y31">
        <v>99</v>
      </c>
      <c r="Z31">
        <v>0</v>
      </c>
      <c r="AA31">
        <v>0</v>
      </c>
      <c r="AB31">
        <v>0</v>
      </c>
      <c r="AC31">
        <v>1</v>
      </c>
      <c r="AD31">
        <v>0</v>
      </c>
      <c r="AE31">
        <v>0</v>
      </c>
      <c r="AF31">
        <v>0</v>
      </c>
      <c r="AG31">
        <v>0</v>
      </c>
      <c r="AQ31">
        <v>1</v>
      </c>
      <c r="AR31">
        <v>1</v>
      </c>
      <c r="AS31">
        <v>1</v>
      </c>
      <c r="AT31">
        <v>1</v>
      </c>
      <c r="AU31">
        <v>0</v>
      </c>
      <c r="AV31">
        <v>0</v>
      </c>
      <c r="AW31">
        <v>1</v>
      </c>
      <c r="AX31" s="2">
        <v>1</v>
      </c>
    </row>
    <row r="32" spans="1:50" x14ac:dyDescent="0.2">
      <c r="A32" t="s">
        <v>746</v>
      </c>
      <c r="B32" s="11" t="s">
        <v>295</v>
      </c>
      <c r="C32" t="s">
        <v>82</v>
      </c>
      <c r="D32" t="s">
        <v>149</v>
      </c>
      <c r="E32" t="s">
        <v>172</v>
      </c>
      <c r="F32">
        <v>2015</v>
      </c>
      <c r="G32">
        <v>3</v>
      </c>
      <c r="H32">
        <v>3</v>
      </c>
      <c r="I32">
        <v>0</v>
      </c>
      <c r="J32">
        <v>9</v>
      </c>
      <c r="K32">
        <v>397</v>
      </c>
      <c r="L32">
        <v>1100</v>
      </c>
      <c r="M32">
        <v>99</v>
      </c>
      <c r="N32">
        <v>1</v>
      </c>
      <c r="O32">
        <v>2</v>
      </c>
      <c r="P32" t="s">
        <v>294</v>
      </c>
      <c r="Q32" s="2" t="s">
        <v>88</v>
      </c>
      <c r="R32" s="2">
        <v>1</v>
      </c>
      <c r="S32" t="s">
        <v>297</v>
      </c>
      <c r="T32" t="s">
        <v>299</v>
      </c>
      <c r="U32">
        <v>1</v>
      </c>
      <c r="V32">
        <v>1</v>
      </c>
      <c r="W32">
        <v>3</v>
      </c>
      <c r="X32" t="s">
        <v>296</v>
      </c>
      <c r="Y32">
        <v>250</v>
      </c>
      <c r="Z32">
        <v>1</v>
      </c>
      <c r="AA32" t="s">
        <v>298</v>
      </c>
      <c r="AB32">
        <v>0</v>
      </c>
      <c r="AC32">
        <v>1</v>
      </c>
      <c r="AD32">
        <v>1</v>
      </c>
      <c r="AE32">
        <v>1</v>
      </c>
      <c r="AF32">
        <v>0</v>
      </c>
      <c r="AQ32">
        <v>0</v>
      </c>
      <c r="AR32">
        <v>1</v>
      </c>
      <c r="AS32">
        <v>1</v>
      </c>
      <c r="AT32">
        <v>1</v>
      </c>
      <c r="AU32">
        <v>1</v>
      </c>
      <c r="AV32">
        <v>1</v>
      </c>
      <c r="AW32">
        <v>0.67</v>
      </c>
      <c r="AX32" s="2">
        <v>0</v>
      </c>
    </row>
    <row r="33" spans="1:50" x14ac:dyDescent="0.2">
      <c r="A33" s="15" t="s">
        <v>747</v>
      </c>
      <c r="B33" s="11" t="s">
        <v>301</v>
      </c>
      <c r="C33" t="s">
        <v>82</v>
      </c>
      <c r="D33" t="s">
        <v>142</v>
      </c>
      <c r="E33" t="s">
        <v>278</v>
      </c>
      <c r="F33">
        <v>2015</v>
      </c>
      <c r="G33">
        <v>3</v>
      </c>
      <c r="H33">
        <v>10</v>
      </c>
      <c r="I33">
        <v>0</v>
      </c>
      <c r="J33">
        <v>18</v>
      </c>
      <c r="K33">
        <v>1030</v>
      </c>
      <c r="L33">
        <v>2200</v>
      </c>
      <c r="M33">
        <v>99</v>
      </c>
      <c r="N33">
        <v>1</v>
      </c>
      <c r="O33">
        <v>1</v>
      </c>
      <c r="P33" t="s">
        <v>302</v>
      </c>
      <c r="Q33" t="s">
        <v>302</v>
      </c>
      <c r="R33" s="2">
        <v>1</v>
      </c>
      <c r="S33" t="s">
        <v>303</v>
      </c>
      <c r="T33" t="s">
        <v>300</v>
      </c>
      <c r="U33">
        <v>0</v>
      </c>
      <c r="V33">
        <v>0</v>
      </c>
      <c r="W33">
        <v>0</v>
      </c>
      <c r="Y33">
        <v>0</v>
      </c>
      <c r="Z33">
        <v>0</v>
      </c>
      <c r="AB33">
        <v>0</v>
      </c>
      <c r="AC33">
        <v>1</v>
      </c>
      <c r="AD33">
        <v>0</v>
      </c>
      <c r="AE33">
        <v>0</v>
      </c>
      <c r="AF33">
        <v>0</v>
      </c>
      <c r="AG33">
        <v>1</v>
      </c>
      <c r="AQ33">
        <v>0</v>
      </c>
      <c r="AR33">
        <v>0</v>
      </c>
      <c r="AS33">
        <v>0</v>
      </c>
      <c r="AT33">
        <v>0</v>
      </c>
      <c r="AU33">
        <v>0</v>
      </c>
      <c r="AV33">
        <v>0</v>
      </c>
      <c r="AW33">
        <v>0.33</v>
      </c>
      <c r="AX33" s="2">
        <v>1</v>
      </c>
    </row>
    <row r="34" spans="1:50" x14ac:dyDescent="0.2">
      <c r="A34" s="2" t="s">
        <v>307</v>
      </c>
      <c r="B34" s="11" t="s">
        <v>335</v>
      </c>
      <c r="C34" t="s">
        <v>78</v>
      </c>
      <c r="D34" t="s">
        <v>337</v>
      </c>
      <c r="E34" t="s">
        <v>321</v>
      </c>
      <c r="F34">
        <v>2019</v>
      </c>
      <c r="G34">
        <v>17</v>
      </c>
      <c r="H34">
        <v>17</v>
      </c>
      <c r="I34">
        <v>0</v>
      </c>
      <c r="J34">
        <v>9</v>
      </c>
      <c r="K34">
        <v>3150</v>
      </c>
      <c r="L34">
        <v>15000</v>
      </c>
      <c r="M34">
        <v>20</v>
      </c>
      <c r="N34">
        <v>1</v>
      </c>
      <c r="O34">
        <v>99</v>
      </c>
      <c r="P34" t="s">
        <v>334</v>
      </c>
      <c r="Q34" t="s">
        <v>333</v>
      </c>
      <c r="R34" s="2">
        <v>1</v>
      </c>
      <c r="S34" t="s">
        <v>306</v>
      </c>
      <c r="T34" t="s">
        <v>308</v>
      </c>
      <c r="U34">
        <v>1</v>
      </c>
      <c r="V34">
        <v>1</v>
      </c>
      <c r="W34">
        <v>99</v>
      </c>
      <c r="X34" t="s">
        <v>338</v>
      </c>
      <c r="Y34">
        <v>844</v>
      </c>
      <c r="Z34">
        <v>0</v>
      </c>
      <c r="AB34">
        <v>1</v>
      </c>
      <c r="AC34">
        <v>1</v>
      </c>
      <c r="AD34">
        <v>0</v>
      </c>
      <c r="AE34">
        <v>1</v>
      </c>
      <c r="AF34">
        <v>0</v>
      </c>
      <c r="AG34">
        <v>0</v>
      </c>
      <c r="AQ34">
        <v>1</v>
      </c>
      <c r="AR34">
        <v>0</v>
      </c>
      <c r="AS34">
        <v>1</v>
      </c>
      <c r="AT34">
        <v>0.33</v>
      </c>
      <c r="AU34">
        <v>0</v>
      </c>
      <c r="AV34">
        <v>0</v>
      </c>
      <c r="AW34">
        <v>1</v>
      </c>
      <c r="AX34" s="2">
        <v>0</v>
      </c>
    </row>
    <row r="35" spans="1:50" x14ac:dyDescent="0.2">
      <c r="A35" s="15" t="s">
        <v>748</v>
      </c>
      <c r="B35" s="11" t="s">
        <v>326</v>
      </c>
      <c r="C35" t="s">
        <v>78</v>
      </c>
      <c r="D35" t="s">
        <v>150</v>
      </c>
      <c r="E35" t="s">
        <v>327</v>
      </c>
      <c r="F35">
        <v>2018</v>
      </c>
      <c r="G35">
        <v>10</v>
      </c>
      <c r="H35">
        <v>10</v>
      </c>
      <c r="I35">
        <v>0</v>
      </c>
      <c r="J35">
        <v>8</v>
      </c>
      <c r="K35">
        <v>488</v>
      </c>
      <c r="L35">
        <v>2000</v>
      </c>
      <c r="M35">
        <v>10</v>
      </c>
      <c r="N35">
        <v>1</v>
      </c>
      <c r="O35">
        <v>5</v>
      </c>
      <c r="P35" t="s">
        <v>324</v>
      </c>
      <c r="Q35" t="s">
        <v>323</v>
      </c>
      <c r="R35" s="2">
        <v>0</v>
      </c>
      <c r="T35" s="2" t="s">
        <v>328</v>
      </c>
      <c r="U35">
        <v>1</v>
      </c>
      <c r="V35">
        <v>1</v>
      </c>
      <c r="W35">
        <v>2</v>
      </c>
      <c r="X35" s="2" t="s">
        <v>325</v>
      </c>
      <c r="Y35">
        <v>863</v>
      </c>
      <c r="Z35">
        <v>0</v>
      </c>
      <c r="AB35">
        <v>0</v>
      </c>
      <c r="AC35">
        <v>1</v>
      </c>
      <c r="AD35">
        <v>1</v>
      </c>
      <c r="AE35">
        <v>1</v>
      </c>
      <c r="AF35">
        <v>0</v>
      </c>
      <c r="AQ35">
        <v>1</v>
      </c>
      <c r="AR35">
        <v>0</v>
      </c>
      <c r="AS35">
        <v>1</v>
      </c>
      <c r="AT35">
        <v>0</v>
      </c>
      <c r="AU35">
        <v>0</v>
      </c>
      <c r="AV35">
        <v>0.67</v>
      </c>
      <c r="AW35">
        <v>1</v>
      </c>
      <c r="AX35" s="2">
        <v>0</v>
      </c>
    </row>
    <row r="36" spans="1:50" x14ac:dyDescent="0.2">
      <c r="A36" s="2" t="s">
        <v>749</v>
      </c>
      <c r="B36" s="11" t="s">
        <v>330</v>
      </c>
      <c r="C36" t="s">
        <v>78</v>
      </c>
      <c r="D36" t="s">
        <v>150</v>
      </c>
      <c r="E36" t="s">
        <v>331</v>
      </c>
      <c r="F36">
        <v>2018</v>
      </c>
      <c r="G36">
        <v>11</v>
      </c>
      <c r="H36">
        <v>11</v>
      </c>
      <c r="I36">
        <v>0</v>
      </c>
      <c r="J36">
        <v>5</v>
      </c>
      <c r="K36">
        <v>8384</v>
      </c>
      <c r="L36">
        <v>30000</v>
      </c>
      <c r="M36">
        <v>120</v>
      </c>
      <c r="N36">
        <v>1</v>
      </c>
      <c r="O36">
        <v>2</v>
      </c>
      <c r="P36" s="2" t="s">
        <v>332</v>
      </c>
      <c r="Q36" t="s">
        <v>314</v>
      </c>
      <c r="R36" s="2">
        <v>0</v>
      </c>
      <c r="T36" s="2" t="s">
        <v>329</v>
      </c>
      <c r="U36">
        <v>1</v>
      </c>
      <c r="V36">
        <v>1</v>
      </c>
      <c r="W36">
        <v>2</v>
      </c>
      <c r="X36" s="17" t="s">
        <v>325</v>
      </c>
      <c r="Y36">
        <v>1050</v>
      </c>
      <c r="Z36">
        <v>0</v>
      </c>
      <c r="AB36">
        <v>0</v>
      </c>
      <c r="AC36">
        <v>1</v>
      </c>
      <c r="AD36">
        <v>0</v>
      </c>
      <c r="AE36">
        <v>0</v>
      </c>
      <c r="AF36">
        <v>0</v>
      </c>
      <c r="AQ36">
        <v>1</v>
      </c>
      <c r="AR36">
        <v>1</v>
      </c>
      <c r="AS36">
        <v>1</v>
      </c>
      <c r="AT36">
        <v>0</v>
      </c>
      <c r="AU36">
        <v>0</v>
      </c>
      <c r="AV36">
        <v>0</v>
      </c>
      <c r="AW36">
        <v>1</v>
      </c>
      <c r="AX36" s="2">
        <v>0</v>
      </c>
    </row>
    <row r="37" spans="1:50" x14ac:dyDescent="0.2">
      <c r="A37" s="15" t="s">
        <v>351</v>
      </c>
      <c r="B37" s="11" t="s">
        <v>360</v>
      </c>
      <c r="C37" t="s">
        <v>82</v>
      </c>
      <c r="D37" t="s">
        <v>142</v>
      </c>
      <c r="E37" t="s">
        <v>327</v>
      </c>
      <c r="F37">
        <v>2018</v>
      </c>
      <c r="G37">
        <v>4</v>
      </c>
      <c r="H37">
        <v>4</v>
      </c>
      <c r="I37">
        <v>0</v>
      </c>
      <c r="J37">
        <v>16</v>
      </c>
      <c r="K37">
        <v>2034</v>
      </c>
      <c r="L37">
        <v>6000</v>
      </c>
      <c r="M37">
        <v>200</v>
      </c>
      <c r="N37">
        <v>1</v>
      </c>
      <c r="O37">
        <v>99</v>
      </c>
      <c r="P37" t="s">
        <v>341</v>
      </c>
      <c r="Q37" t="s">
        <v>339</v>
      </c>
      <c r="R37" s="2">
        <v>1</v>
      </c>
      <c r="S37" t="s">
        <v>342</v>
      </c>
      <c r="T37" s="2" t="s">
        <v>340</v>
      </c>
      <c r="U37">
        <v>1</v>
      </c>
      <c r="V37">
        <v>1</v>
      </c>
      <c r="W37">
        <v>2</v>
      </c>
      <c r="X37" s="18" t="s">
        <v>343</v>
      </c>
      <c r="Y37">
        <v>1200</v>
      </c>
      <c r="Z37">
        <v>0</v>
      </c>
      <c r="AB37">
        <v>1</v>
      </c>
      <c r="AC37">
        <v>1</v>
      </c>
      <c r="AD37">
        <v>0</v>
      </c>
      <c r="AE37">
        <v>0</v>
      </c>
      <c r="AF37">
        <v>0</v>
      </c>
      <c r="AQ37">
        <v>1</v>
      </c>
      <c r="AR37">
        <v>1</v>
      </c>
      <c r="AS37">
        <v>1</v>
      </c>
      <c r="AT37">
        <v>1</v>
      </c>
      <c r="AU37">
        <v>0</v>
      </c>
      <c r="AV37">
        <v>0</v>
      </c>
      <c r="AW37">
        <v>1</v>
      </c>
      <c r="AX37" s="2">
        <v>1</v>
      </c>
    </row>
    <row r="38" spans="1:50" x14ac:dyDescent="0.2">
      <c r="A38" t="s">
        <v>367</v>
      </c>
      <c r="B38" s="11" t="s">
        <v>336</v>
      </c>
      <c r="C38" t="s">
        <v>78</v>
      </c>
      <c r="D38" t="s">
        <v>320</v>
      </c>
      <c r="E38" t="s">
        <v>321</v>
      </c>
      <c r="F38">
        <v>2019</v>
      </c>
      <c r="G38">
        <v>12</v>
      </c>
      <c r="H38">
        <v>12</v>
      </c>
      <c r="I38">
        <v>0</v>
      </c>
      <c r="J38">
        <v>6</v>
      </c>
      <c r="K38">
        <v>483</v>
      </c>
      <c r="L38">
        <v>1500</v>
      </c>
      <c r="M38">
        <v>0</v>
      </c>
      <c r="N38">
        <v>1</v>
      </c>
      <c r="O38">
        <v>2</v>
      </c>
      <c r="P38" t="s">
        <v>319</v>
      </c>
      <c r="Q38" t="s">
        <v>317</v>
      </c>
      <c r="R38">
        <v>0</v>
      </c>
      <c r="T38" t="s">
        <v>318</v>
      </c>
      <c r="U38">
        <v>1</v>
      </c>
      <c r="V38">
        <v>1</v>
      </c>
      <c r="W38">
        <v>99</v>
      </c>
      <c r="X38" t="s">
        <v>322</v>
      </c>
      <c r="Y38">
        <v>150</v>
      </c>
      <c r="Z38">
        <v>0</v>
      </c>
      <c r="AB38">
        <v>0</v>
      </c>
      <c r="AC38">
        <v>1</v>
      </c>
      <c r="AD38">
        <v>0</v>
      </c>
      <c r="AE38">
        <v>0</v>
      </c>
      <c r="AF38">
        <v>0</v>
      </c>
      <c r="AQ38">
        <v>1</v>
      </c>
      <c r="AR38">
        <v>1</v>
      </c>
      <c r="AS38">
        <v>1</v>
      </c>
      <c r="AT38">
        <v>0</v>
      </c>
      <c r="AU38">
        <v>0</v>
      </c>
      <c r="AV38">
        <v>0</v>
      </c>
      <c r="AW38">
        <v>1</v>
      </c>
      <c r="AX38">
        <v>0</v>
      </c>
    </row>
    <row r="39" spans="1:50" x14ac:dyDescent="0.2">
      <c r="A39" s="15" t="s">
        <v>750</v>
      </c>
      <c r="B39" s="11" t="s">
        <v>348</v>
      </c>
      <c r="C39" t="s">
        <v>82</v>
      </c>
      <c r="D39" t="s">
        <v>91</v>
      </c>
      <c r="E39" t="s">
        <v>349</v>
      </c>
      <c r="F39">
        <v>2017</v>
      </c>
      <c r="G39">
        <v>18</v>
      </c>
      <c r="H39">
        <v>18</v>
      </c>
      <c r="I39">
        <v>0</v>
      </c>
      <c r="J39">
        <v>7</v>
      </c>
      <c r="K39">
        <v>1071</v>
      </c>
      <c r="L39">
        <v>2000</v>
      </c>
      <c r="M39">
        <v>330</v>
      </c>
      <c r="N39">
        <v>1</v>
      </c>
      <c r="O39">
        <v>99</v>
      </c>
      <c r="P39" t="s">
        <v>345</v>
      </c>
      <c r="Q39" t="s">
        <v>344</v>
      </c>
      <c r="R39" s="2">
        <v>0</v>
      </c>
      <c r="T39" s="2" t="s">
        <v>346</v>
      </c>
      <c r="U39">
        <v>1</v>
      </c>
      <c r="V39">
        <v>1</v>
      </c>
      <c r="W39">
        <v>99</v>
      </c>
      <c r="X39" t="s">
        <v>347</v>
      </c>
      <c r="Y39">
        <v>5525</v>
      </c>
      <c r="Z39">
        <v>1</v>
      </c>
      <c r="AA39" t="s">
        <v>350</v>
      </c>
      <c r="AB39">
        <v>0</v>
      </c>
      <c r="AC39">
        <v>1</v>
      </c>
      <c r="AD39">
        <v>1</v>
      </c>
      <c r="AE39">
        <v>0</v>
      </c>
      <c r="AF39">
        <v>0</v>
      </c>
      <c r="AQ39">
        <v>1</v>
      </c>
      <c r="AR39">
        <v>0.33</v>
      </c>
      <c r="AS39">
        <v>1</v>
      </c>
      <c r="AT39">
        <v>0</v>
      </c>
      <c r="AU39">
        <v>0</v>
      </c>
      <c r="AV39">
        <v>0.67</v>
      </c>
      <c r="AW39">
        <v>1</v>
      </c>
      <c r="AX39" s="2">
        <v>0</v>
      </c>
    </row>
    <row r="40" spans="1:50" x14ac:dyDescent="0.2">
      <c r="A40" s="2" t="s">
        <v>751</v>
      </c>
      <c r="B40" s="11" t="s">
        <v>355</v>
      </c>
      <c r="C40" t="s">
        <v>82</v>
      </c>
      <c r="D40" t="s">
        <v>91</v>
      </c>
      <c r="E40" t="s">
        <v>383</v>
      </c>
      <c r="F40">
        <v>2020</v>
      </c>
      <c r="G40">
        <v>216</v>
      </c>
      <c r="H40">
        <v>264</v>
      </c>
      <c r="I40">
        <v>1</v>
      </c>
      <c r="J40">
        <v>15</v>
      </c>
      <c r="K40">
        <v>2900</v>
      </c>
      <c r="L40">
        <v>7500</v>
      </c>
      <c r="M40">
        <v>500</v>
      </c>
      <c r="N40">
        <v>1</v>
      </c>
      <c r="O40">
        <v>99</v>
      </c>
      <c r="P40" t="s">
        <v>352</v>
      </c>
      <c r="Q40" t="s">
        <v>352</v>
      </c>
      <c r="R40" s="2">
        <v>0</v>
      </c>
      <c r="T40" s="2" t="s">
        <v>353</v>
      </c>
      <c r="U40">
        <v>1</v>
      </c>
      <c r="V40">
        <v>1</v>
      </c>
      <c r="W40">
        <v>99</v>
      </c>
      <c r="X40" t="s">
        <v>354</v>
      </c>
      <c r="Y40">
        <v>979</v>
      </c>
      <c r="Z40">
        <v>1</v>
      </c>
      <c r="AA40" t="s">
        <v>356</v>
      </c>
      <c r="AB40">
        <v>0</v>
      </c>
      <c r="AC40">
        <v>1</v>
      </c>
      <c r="AD40">
        <v>1</v>
      </c>
      <c r="AE40">
        <v>0</v>
      </c>
      <c r="AF40">
        <v>1</v>
      </c>
      <c r="AQ40">
        <v>0</v>
      </c>
      <c r="AR40">
        <v>0</v>
      </c>
      <c r="AS40">
        <v>0</v>
      </c>
      <c r="AT40">
        <v>0</v>
      </c>
      <c r="AU40">
        <v>0</v>
      </c>
      <c r="AV40">
        <v>1</v>
      </c>
      <c r="AW40">
        <v>1</v>
      </c>
      <c r="AX40" s="2">
        <v>1</v>
      </c>
    </row>
    <row r="41" spans="1:50" x14ac:dyDescent="0.2">
      <c r="A41" s="2" t="s">
        <v>752</v>
      </c>
      <c r="B41" s="11" t="s">
        <v>359</v>
      </c>
      <c r="C41" t="s">
        <v>82</v>
      </c>
      <c r="D41" t="s">
        <v>150</v>
      </c>
      <c r="E41" t="s">
        <v>327</v>
      </c>
      <c r="F41">
        <v>2018</v>
      </c>
      <c r="G41">
        <v>3</v>
      </c>
      <c r="H41">
        <v>3</v>
      </c>
      <c r="I41">
        <v>0</v>
      </c>
      <c r="J41">
        <v>11</v>
      </c>
      <c r="K41">
        <v>285</v>
      </c>
      <c r="L41">
        <v>1000</v>
      </c>
      <c r="M41">
        <v>75</v>
      </c>
      <c r="N41">
        <v>1</v>
      </c>
      <c r="O41">
        <v>99</v>
      </c>
      <c r="P41" t="s">
        <v>357</v>
      </c>
      <c r="Q41" t="s">
        <v>679</v>
      </c>
      <c r="R41" s="2">
        <v>0</v>
      </c>
      <c r="T41" s="2" t="s">
        <v>358</v>
      </c>
      <c r="U41">
        <v>1</v>
      </c>
      <c r="V41">
        <v>1</v>
      </c>
      <c r="W41">
        <v>4</v>
      </c>
      <c r="X41" t="s">
        <v>361</v>
      </c>
      <c r="Y41">
        <v>1162</v>
      </c>
      <c r="Z41">
        <v>0</v>
      </c>
      <c r="AA41" t="s">
        <v>362</v>
      </c>
      <c r="AB41">
        <v>0</v>
      </c>
      <c r="AC41">
        <v>1</v>
      </c>
      <c r="AD41">
        <v>0</v>
      </c>
      <c r="AE41">
        <v>0</v>
      </c>
      <c r="AF41">
        <v>0</v>
      </c>
      <c r="AG41">
        <v>0</v>
      </c>
      <c r="AQ41">
        <v>1</v>
      </c>
      <c r="AR41">
        <v>1</v>
      </c>
      <c r="AS41">
        <v>1</v>
      </c>
      <c r="AT41">
        <v>0</v>
      </c>
      <c r="AU41">
        <v>0</v>
      </c>
      <c r="AV41">
        <v>0</v>
      </c>
      <c r="AW41">
        <v>1</v>
      </c>
      <c r="AX41" s="2">
        <v>1</v>
      </c>
    </row>
    <row r="42" spans="1:50" x14ac:dyDescent="0.2">
      <c r="A42" t="s">
        <v>753</v>
      </c>
      <c r="B42" s="11" t="s">
        <v>368</v>
      </c>
      <c r="C42" t="s">
        <v>82</v>
      </c>
      <c r="D42" t="s">
        <v>363</v>
      </c>
      <c r="E42" t="s">
        <v>369</v>
      </c>
      <c r="F42">
        <v>2019</v>
      </c>
      <c r="G42">
        <v>93</v>
      </c>
      <c r="H42">
        <v>93</v>
      </c>
      <c r="I42">
        <v>0</v>
      </c>
      <c r="J42">
        <v>9</v>
      </c>
      <c r="K42">
        <v>409</v>
      </c>
      <c r="L42">
        <v>1000</v>
      </c>
      <c r="M42">
        <v>130</v>
      </c>
      <c r="N42">
        <v>1</v>
      </c>
      <c r="O42">
        <v>2</v>
      </c>
      <c r="P42" s="18" t="s">
        <v>364</v>
      </c>
      <c r="Q42" t="s">
        <v>88</v>
      </c>
      <c r="R42" s="2">
        <v>0</v>
      </c>
      <c r="T42" s="2" t="s">
        <v>370</v>
      </c>
      <c r="U42">
        <v>1</v>
      </c>
      <c r="V42">
        <v>1</v>
      </c>
      <c r="W42">
        <v>99</v>
      </c>
      <c r="X42" s="18" t="s">
        <v>371</v>
      </c>
      <c r="Y42">
        <v>240</v>
      </c>
      <c r="Z42">
        <v>0</v>
      </c>
      <c r="AB42">
        <v>1</v>
      </c>
      <c r="AC42">
        <v>1</v>
      </c>
      <c r="AD42">
        <v>1</v>
      </c>
      <c r="AE42">
        <v>1</v>
      </c>
      <c r="AF42">
        <v>0</v>
      </c>
      <c r="AG42">
        <v>0</v>
      </c>
      <c r="AQ42">
        <v>1</v>
      </c>
      <c r="AR42">
        <v>1</v>
      </c>
      <c r="AS42">
        <v>1</v>
      </c>
      <c r="AT42">
        <v>1</v>
      </c>
      <c r="AU42">
        <v>0.33</v>
      </c>
      <c r="AV42">
        <v>0</v>
      </c>
      <c r="AW42">
        <v>1</v>
      </c>
      <c r="AX42" s="2">
        <v>0</v>
      </c>
    </row>
    <row r="43" spans="1:50" x14ac:dyDescent="0.2">
      <c r="A43" s="2" t="s">
        <v>365</v>
      </c>
      <c r="B43" s="11" t="s">
        <v>373</v>
      </c>
      <c r="C43" t="s">
        <v>82</v>
      </c>
      <c r="D43" t="s">
        <v>150</v>
      </c>
      <c r="E43" t="s">
        <v>374</v>
      </c>
      <c r="F43">
        <v>2017</v>
      </c>
      <c r="G43">
        <v>33</v>
      </c>
      <c r="H43">
        <v>33</v>
      </c>
      <c r="I43">
        <v>0</v>
      </c>
      <c r="J43">
        <v>102</v>
      </c>
      <c r="K43">
        <v>267</v>
      </c>
      <c r="L43">
        <v>2300</v>
      </c>
      <c r="M43">
        <v>7</v>
      </c>
      <c r="N43">
        <v>1</v>
      </c>
      <c r="O43">
        <v>99</v>
      </c>
      <c r="P43" t="s">
        <v>375</v>
      </c>
      <c r="Q43" t="s">
        <v>366</v>
      </c>
      <c r="R43" s="2">
        <v>0</v>
      </c>
      <c r="T43" s="2" t="s">
        <v>372</v>
      </c>
      <c r="U43">
        <v>1</v>
      </c>
      <c r="V43">
        <v>1</v>
      </c>
      <c r="W43">
        <v>3</v>
      </c>
      <c r="X43" t="s">
        <v>376</v>
      </c>
      <c r="Y43">
        <v>100</v>
      </c>
      <c r="Z43">
        <v>0</v>
      </c>
      <c r="AB43">
        <v>0</v>
      </c>
      <c r="AC43">
        <v>1</v>
      </c>
      <c r="AD43">
        <v>1</v>
      </c>
      <c r="AE43">
        <v>0</v>
      </c>
      <c r="AF43">
        <v>0</v>
      </c>
      <c r="AG43">
        <v>0</v>
      </c>
      <c r="AQ43">
        <v>1</v>
      </c>
      <c r="AR43">
        <v>1</v>
      </c>
      <c r="AS43">
        <v>1</v>
      </c>
      <c r="AT43">
        <v>0.33</v>
      </c>
      <c r="AU43">
        <v>0</v>
      </c>
      <c r="AV43">
        <v>0</v>
      </c>
      <c r="AW43">
        <v>1</v>
      </c>
      <c r="AX43" s="2">
        <v>1</v>
      </c>
    </row>
    <row r="44" spans="1:50" x14ac:dyDescent="0.2">
      <c r="A44" s="19" t="s">
        <v>756</v>
      </c>
      <c r="B44" s="11" t="s">
        <v>234</v>
      </c>
      <c r="C44" t="s">
        <v>82</v>
      </c>
      <c r="D44" t="s">
        <v>95</v>
      </c>
      <c r="E44" t="s">
        <v>235</v>
      </c>
      <c r="F44">
        <v>2013</v>
      </c>
      <c r="G44">
        <v>156</v>
      </c>
      <c r="H44">
        <v>156</v>
      </c>
      <c r="I44">
        <v>0</v>
      </c>
      <c r="J44">
        <v>18</v>
      </c>
      <c r="K44">
        <v>2532</v>
      </c>
      <c r="L44">
        <v>7000</v>
      </c>
      <c r="M44">
        <v>500</v>
      </c>
      <c r="N44">
        <v>1</v>
      </c>
      <c r="O44">
        <v>3</v>
      </c>
      <c r="P44" s="2" t="s">
        <v>236</v>
      </c>
      <c r="Q44" s="2" t="s">
        <v>680</v>
      </c>
      <c r="R44" s="2">
        <v>0</v>
      </c>
      <c r="T44" s="2" t="s">
        <v>115</v>
      </c>
      <c r="U44">
        <v>1</v>
      </c>
      <c r="V44">
        <v>1</v>
      </c>
      <c r="W44">
        <v>99</v>
      </c>
      <c r="X44" t="s">
        <v>237</v>
      </c>
      <c r="Y44">
        <v>5179</v>
      </c>
      <c r="Z44">
        <v>1</v>
      </c>
      <c r="AA44" t="s">
        <v>238</v>
      </c>
      <c r="AB44">
        <v>0</v>
      </c>
      <c r="AC44">
        <v>1</v>
      </c>
      <c r="AD44">
        <v>1</v>
      </c>
      <c r="AE44">
        <v>0</v>
      </c>
      <c r="AF44">
        <v>1</v>
      </c>
      <c r="AG44">
        <v>0</v>
      </c>
      <c r="AH44">
        <v>0</v>
      </c>
      <c r="AI44">
        <v>1</v>
      </c>
      <c r="AJ44">
        <v>1</v>
      </c>
      <c r="AK44">
        <v>0</v>
      </c>
      <c r="AL44">
        <v>0</v>
      </c>
      <c r="AM44">
        <v>0</v>
      </c>
      <c r="AN44">
        <v>0.5</v>
      </c>
      <c r="AO44" s="2">
        <v>1</v>
      </c>
      <c r="AQ44">
        <v>1</v>
      </c>
      <c r="AR44">
        <v>0</v>
      </c>
      <c r="AS44">
        <v>1</v>
      </c>
      <c r="AT44">
        <v>0</v>
      </c>
      <c r="AU44">
        <v>0</v>
      </c>
      <c r="AV44">
        <v>1</v>
      </c>
      <c r="AW44">
        <v>1</v>
      </c>
      <c r="AX44" s="2">
        <v>1</v>
      </c>
    </row>
    <row r="45" spans="1:50" x14ac:dyDescent="0.2">
      <c r="A45" s="2" t="s">
        <v>757</v>
      </c>
      <c r="B45" s="11" t="s">
        <v>384</v>
      </c>
      <c r="C45" t="s">
        <v>82</v>
      </c>
      <c r="D45" t="s">
        <v>95</v>
      </c>
      <c r="E45" t="s">
        <v>385</v>
      </c>
      <c r="F45">
        <v>2020</v>
      </c>
      <c r="G45">
        <v>60</v>
      </c>
      <c r="H45">
        <v>108</v>
      </c>
      <c r="I45">
        <v>1</v>
      </c>
      <c r="J45">
        <v>8</v>
      </c>
      <c r="K45">
        <v>693</v>
      </c>
      <c r="L45">
        <v>1500</v>
      </c>
      <c r="M45">
        <v>500</v>
      </c>
      <c r="N45">
        <v>1</v>
      </c>
      <c r="O45">
        <v>5</v>
      </c>
      <c r="P45" s="18" t="s">
        <v>390</v>
      </c>
      <c r="Q45" t="s">
        <v>88</v>
      </c>
      <c r="R45" s="2">
        <v>0</v>
      </c>
      <c r="T45" s="2" t="s">
        <v>204</v>
      </c>
      <c r="U45">
        <v>1</v>
      </c>
      <c r="V45">
        <v>1</v>
      </c>
      <c r="W45">
        <v>1</v>
      </c>
      <c r="X45" t="s">
        <v>386</v>
      </c>
      <c r="Y45">
        <v>830</v>
      </c>
      <c r="Z45">
        <v>1</v>
      </c>
      <c r="AA45" t="s">
        <v>113</v>
      </c>
      <c r="AB45">
        <v>0.33</v>
      </c>
      <c r="AC45">
        <v>1</v>
      </c>
      <c r="AD45">
        <v>1</v>
      </c>
      <c r="AE45">
        <v>0</v>
      </c>
      <c r="AF45">
        <v>0</v>
      </c>
      <c r="AG45">
        <v>0</v>
      </c>
      <c r="AQ45">
        <v>0</v>
      </c>
      <c r="AR45">
        <v>0</v>
      </c>
      <c r="AS45">
        <v>0</v>
      </c>
      <c r="AT45">
        <v>0.33</v>
      </c>
      <c r="AU45">
        <v>0</v>
      </c>
      <c r="AV45">
        <v>1</v>
      </c>
      <c r="AW45">
        <v>1</v>
      </c>
      <c r="AX45" s="2">
        <v>0</v>
      </c>
    </row>
    <row r="46" spans="1:50" x14ac:dyDescent="0.2">
      <c r="A46" s="2" t="s">
        <v>758</v>
      </c>
      <c r="B46" s="11" t="s">
        <v>387</v>
      </c>
      <c r="C46" t="s">
        <v>82</v>
      </c>
      <c r="D46" t="s">
        <v>95</v>
      </c>
      <c r="E46" t="s">
        <v>388</v>
      </c>
      <c r="F46">
        <v>2020</v>
      </c>
      <c r="G46">
        <v>240</v>
      </c>
      <c r="H46">
        <v>288</v>
      </c>
      <c r="I46">
        <v>1</v>
      </c>
      <c r="J46">
        <v>32</v>
      </c>
      <c r="K46">
        <v>1670</v>
      </c>
      <c r="L46">
        <v>7000</v>
      </c>
      <c r="M46">
        <v>500</v>
      </c>
      <c r="N46">
        <v>1</v>
      </c>
      <c r="O46">
        <v>99</v>
      </c>
      <c r="P46" s="2" t="s">
        <v>389</v>
      </c>
      <c r="Q46" t="s">
        <v>88</v>
      </c>
      <c r="R46" s="2">
        <v>0</v>
      </c>
      <c r="T46" s="2" t="s">
        <v>204</v>
      </c>
      <c r="U46">
        <v>1</v>
      </c>
      <c r="V46">
        <v>1</v>
      </c>
      <c r="W46">
        <v>99</v>
      </c>
      <c r="X46" t="s">
        <v>391</v>
      </c>
      <c r="Y46">
        <v>3535</v>
      </c>
      <c r="Z46">
        <v>1</v>
      </c>
      <c r="AA46" t="s">
        <v>113</v>
      </c>
      <c r="AB46">
        <v>0.33</v>
      </c>
      <c r="AC46">
        <v>1</v>
      </c>
      <c r="AD46">
        <v>1</v>
      </c>
      <c r="AE46">
        <v>0</v>
      </c>
      <c r="AF46">
        <v>1</v>
      </c>
      <c r="AG46">
        <v>0</v>
      </c>
      <c r="AQ46">
        <v>0</v>
      </c>
      <c r="AR46">
        <v>0</v>
      </c>
      <c r="AS46">
        <v>0</v>
      </c>
      <c r="AT46">
        <v>0.33</v>
      </c>
      <c r="AU46">
        <v>0</v>
      </c>
      <c r="AV46">
        <v>1</v>
      </c>
      <c r="AW46">
        <v>1</v>
      </c>
      <c r="AX46" s="2">
        <v>1</v>
      </c>
    </row>
  </sheetData>
  <pageMargins left="0.75" right="0.75" top="1" bottom="1" header="0.5" footer="0.5"/>
  <pageSetup paperSize="9" orientation="portrait" horizontalDpi="4294967292" verticalDpi="4294967292"/>
  <legacyDrawing r:id="rId1"/>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4"/>
  <sheetViews>
    <sheetView topLeftCell="A13" workbookViewId="0">
      <selection activeCell="C28" sqref="C28"/>
    </sheetView>
  </sheetViews>
  <sheetFormatPr baseColWidth="10" defaultRowHeight="16" x14ac:dyDescent="0.2"/>
  <cols>
    <col min="2" max="2" width="36.1640625" style="1" customWidth="1"/>
    <col min="3" max="3" width="29.33203125" style="1" customWidth="1"/>
  </cols>
  <sheetData>
    <row r="1" spans="1:3" ht="17" x14ac:dyDescent="0.2">
      <c r="B1" s="1" t="s">
        <v>5</v>
      </c>
      <c r="C1" s="1" t="s">
        <v>7</v>
      </c>
    </row>
    <row r="2" spans="1:3" ht="17" x14ac:dyDescent="0.2">
      <c r="A2" t="s">
        <v>1</v>
      </c>
      <c r="B2" s="1" t="s">
        <v>2</v>
      </c>
      <c r="C2" s="1" t="s">
        <v>12</v>
      </c>
    </row>
    <row r="3" spans="1:3" ht="85" x14ac:dyDescent="0.2">
      <c r="A3" t="s">
        <v>6</v>
      </c>
      <c r="B3" s="1" t="s">
        <v>89</v>
      </c>
    </row>
    <row r="4" spans="1:3" ht="17" x14ac:dyDescent="0.2">
      <c r="A4" t="s">
        <v>8</v>
      </c>
      <c r="B4" s="1" t="s">
        <v>9</v>
      </c>
      <c r="C4" s="1" t="s">
        <v>77</v>
      </c>
    </row>
    <row r="5" spans="1:3" ht="17" x14ac:dyDescent="0.2">
      <c r="A5" t="s">
        <v>10</v>
      </c>
      <c r="B5" s="1" t="s">
        <v>11</v>
      </c>
      <c r="C5" s="1" t="s">
        <v>12</v>
      </c>
    </row>
    <row r="6" spans="1:3" ht="17" x14ac:dyDescent="0.2">
      <c r="A6" t="s">
        <v>4</v>
      </c>
      <c r="B6" s="1" t="s">
        <v>13</v>
      </c>
      <c r="C6" s="1" t="s">
        <v>14</v>
      </c>
    </row>
    <row r="7" spans="1:3" ht="51" x14ac:dyDescent="0.2">
      <c r="A7" t="s">
        <v>272</v>
      </c>
      <c r="B7" s="1" t="s">
        <v>273</v>
      </c>
      <c r="C7" s="1" t="s">
        <v>274</v>
      </c>
    </row>
    <row r="8" spans="1:3" ht="17" x14ac:dyDescent="0.2">
      <c r="A8" t="s">
        <v>3</v>
      </c>
      <c r="B8" s="1" t="s">
        <v>0</v>
      </c>
      <c r="C8" s="1" t="s">
        <v>35</v>
      </c>
    </row>
    <row r="9" spans="1:3" ht="34" x14ac:dyDescent="0.2">
      <c r="A9" t="s">
        <v>259</v>
      </c>
      <c r="B9" s="1" t="s">
        <v>260</v>
      </c>
      <c r="C9" s="1" t="s">
        <v>35</v>
      </c>
    </row>
    <row r="10" spans="1:3" ht="17" x14ac:dyDescent="0.2">
      <c r="A10" t="s">
        <v>262</v>
      </c>
      <c r="B10" s="1" t="s">
        <v>263</v>
      </c>
      <c r="C10" s="1" t="s">
        <v>264</v>
      </c>
    </row>
    <row r="11" spans="1:3" ht="34" x14ac:dyDescent="0.2">
      <c r="A11" t="s">
        <v>143</v>
      </c>
      <c r="B11" s="1" t="s">
        <v>266</v>
      </c>
      <c r="C11" s="1" t="s">
        <v>144</v>
      </c>
    </row>
    <row r="12" spans="1:3" ht="34" x14ac:dyDescent="0.2">
      <c r="A12" t="s">
        <v>32</v>
      </c>
      <c r="B12" s="1" t="s">
        <v>33</v>
      </c>
      <c r="C12" s="1" t="s">
        <v>34</v>
      </c>
    </row>
    <row r="13" spans="1:3" ht="34" x14ac:dyDescent="0.2">
      <c r="A13" t="s">
        <v>268</v>
      </c>
      <c r="B13" s="1" t="s">
        <v>270</v>
      </c>
      <c r="C13" s="1" t="s">
        <v>51</v>
      </c>
    </row>
    <row r="14" spans="1:3" ht="34" x14ac:dyDescent="0.2">
      <c r="A14" t="s">
        <v>269</v>
      </c>
      <c r="B14" s="1" t="s">
        <v>271</v>
      </c>
      <c r="C14" s="1" t="s">
        <v>51</v>
      </c>
    </row>
    <row r="15" spans="1:3" ht="17" x14ac:dyDescent="0.2">
      <c r="A15" t="s">
        <v>15</v>
      </c>
      <c r="B15" s="1" t="s">
        <v>18</v>
      </c>
      <c r="C15" s="1" t="s">
        <v>16</v>
      </c>
    </row>
    <row r="16" spans="1:3" ht="34" x14ac:dyDescent="0.2">
      <c r="A16" t="s">
        <v>17</v>
      </c>
      <c r="B16" s="1" t="s">
        <v>19</v>
      </c>
      <c r="C16" s="1" t="s">
        <v>86</v>
      </c>
    </row>
    <row r="17" spans="1:3" ht="17" x14ac:dyDescent="0.2">
      <c r="A17" t="s">
        <v>20</v>
      </c>
      <c r="B17" s="1" t="s">
        <v>21</v>
      </c>
      <c r="C17" s="1" t="s">
        <v>12</v>
      </c>
    </row>
    <row r="18" spans="1:3" ht="17" x14ac:dyDescent="0.2">
      <c r="A18" t="s">
        <v>22</v>
      </c>
      <c r="B18" s="1" t="s">
        <v>23</v>
      </c>
      <c r="C18" s="1" t="s">
        <v>12</v>
      </c>
    </row>
    <row r="19" spans="1:3" ht="17" x14ac:dyDescent="0.2">
      <c r="A19" t="s">
        <v>24</v>
      </c>
      <c r="C19" s="1" t="s">
        <v>16</v>
      </c>
    </row>
    <row r="20" spans="1:3" ht="17" x14ac:dyDescent="0.2">
      <c r="A20" t="s">
        <v>26</v>
      </c>
      <c r="B20" s="1" t="s">
        <v>27</v>
      </c>
      <c r="C20" s="1" t="s">
        <v>16</v>
      </c>
    </row>
    <row r="21" spans="1:3" ht="17" x14ac:dyDescent="0.2">
      <c r="A21" t="s">
        <v>25</v>
      </c>
      <c r="B21" s="1" t="s">
        <v>28</v>
      </c>
      <c r="C21" s="1" t="s">
        <v>12</v>
      </c>
    </row>
    <row r="22" spans="1:3" ht="17" x14ac:dyDescent="0.2">
      <c r="A22" t="s">
        <v>29</v>
      </c>
      <c r="B22" s="1" t="s">
        <v>30</v>
      </c>
      <c r="C22" s="1" t="s">
        <v>12</v>
      </c>
    </row>
    <row r="23" spans="1:3" ht="34" x14ac:dyDescent="0.2">
      <c r="A23" s="20" t="s">
        <v>31</v>
      </c>
      <c r="B23" s="21" t="s">
        <v>767</v>
      </c>
      <c r="C23" s="1" t="s">
        <v>16</v>
      </c>
    </row>
    <row r="24" spans="1:3" ht="17" x14ac:dyDescent="0.2">
      <c r="A24" t="s">
        <v>55</v>
      </c>
      <c r="B24" s="1" t="s">
        <v>56</v>
      </c>
      <c r="C24" s="1" t="s">
        <v>16</v>
      </c>
    </row>
    <row r="25" spans="1:3" ht="34" x14ac:dyDescent="0.2">
      <c r="A25" t="s">
        <v>256</v>
      </c>
      <c r="B25" s="1" t="s">
        <v>257</v>
      </c>
      <c r="C25" s="1" t="s">
        <v>86</v>
      </c>
    </row>
    <row r="26" spans="1:3" ht="34" x14ac:dyDescent="0.2">
      <c r="A26" t="s">
        <v>57</v>
      </c>
      <c r="B26" s="1" t="s">
        <v>58</v>
      </c>
      <c r="C26" s="1" t="s">
        <v>12</v>
      </c>
    </row>
    <row r="27" spans="1:3" ht="34" x14ac:dyDescent="0.2">
      <c r="A27" t="s">
        <v>36</v>
      </c>
      <c r="B27" s="1" t="s">
        <v>37</v>
      </c>
      <c r="C27" s="1" t="s">
        <v>34</v>
      </c>
    </row>
    <row r="28" spans="1:3" ht="17" x14ac:dyDescent="0.2">
      <c r="A28" t="s">
        <v>38</v>
      </c>
      <c r="B28" s="1" t="s">
        <v>39</v>
      </c>
      <c r="C28" s="1" t="s">
        <v>16</v>
      </c>
    </row>
    <row r="29" spans="1:3" ht="17" x14ac:dyDescent="0.2">
      <c r="A29" t="s">
        <v>40</v>
      </c>
      <c r="B29" s="1" t="s">
        <v>54</v>
      </c>
      <c r="C29" s="1" t="s">
        <v>12</v>
      </c>
    </row>
    <row r="30" spans="1:3" ht="17" x14ac:dyDescent="0.2">
      <c r="A30" t="s">
        <v>41</v>
      </c>
      <c r="B30" s="1" t="s">
        <v>42</v>
      </c>
      <c r="C30" s="1" t="s">
        <v>16</v>
      </c>
    </row>
    <row r="31" spans="1:3" ht="34" x14ac:dyDescent="0.2">
      <c r="A31" t="s">
        <v>43</v>
      </c>
      <c r="B31" s="1" t="s">
        <v>44</v>
      </c>
      <c r="C31" s="1" t="s">
        <v>12</v>
      </c>
    </row>
    <row r="32" spans="1:3" ht="17" x14ac:dyDescent="0.2">
      <c r="A32" t="s">
        <v>45</v>
      </c>
      <c r="B32" s="1" t="s">
        <v>46</v>
      </c>
      <c r="C32" s="1" t="s">
        <v>16</v>
      </c>
    </row>
    <row r="33" spans="1:3" ht="34" x14ac:dyDescent="0.2">
      <c r="A33" t="s">
        <v>47</v>
      </c>
      <c r="B33" s="1" t="s">
        <v>48</v>
      </c>
      <c r="C33" s="1" t="s">
        <v>16</v>
      </c>
    </row>
    <row r="34" spans="1:3" ht="34" x14ac:dyDescent="0.2">
      <c r="A34" t="s">
        <v>49</v>
      </c>
      <c r="B34" s="1" t="s">
        <v>50</v>
      </c>
      <c r="C34" s="1" t="s">
        <v>16</v>
      </c>
    </row>
    <row r="35" spans="1:3" ht="34" x14ac:dyDescent="0.2">
      <c r="A35" t="s">
        <v>52</v>
      </c>
      <c r="B35" s="1" t="s">
        <v>53</v>
      </c>
      <c r="C35" s="1" t="s">
        <v>16</v>
      </c>
    </row>
    <row r="36" spans="1:3" ht="34" x14ac:dyDescent="0.2">
      <c r="A36" t="s">
        <v>59</v>
      </c>
      <c r="B36" s="1" t="s">
        <v>60</v>
      </c>
      <c r="C36" s="1" t="s">
        <v>16</v>
      </c>
    </row>
    <row r="37" spans="1:3" ht="68" x14ac:dyDescent="0.2">
      <c r="A37" t="s">
        <v>61</v>
      </c>
      <c r="B37" s="1" t="s">
        <v>62</v>
      </c>
      <c r="C37" s="1" t="s">
        <v>16</v>
      </c>
    </row>
    <row r="38" spans="1:3" ht="34" x14ac:dyDescent="0.2">
      <c r="A38" t="s">
        <v>63</v>
      </c>
      <c r="B38" s="1" t="s">
        <v>64</v>
      </c>
      <c r="C38" s="1" t="s">
        <v>16</v>
      </c>
    </row>
    <row r="39" spans="1:3" ht="17" x14ac:dyDescent="0.2">
      <c r="A39" t="s">
        <v>65</v>
      </c>
      <c r="B39" s="1" t="s">
        <v>66</v>
      </c>
      <c r="C39" s="1" t="s">
        <v>16</v>
      </c>
    </row>
    <row r="40" spans="1:3" ht="34" x14ac:dyDescent="0.2">
      <c r="A40" t="s">
        <v>67</v>
      </c>
      <c r="B40" s="1" t="s">
        <v>68</v>
      </c>
      <c r="C40" s="1" t="s">
        <v>16</v>
      </c>
    </row>
    <row r="41" spans="1:3" ht="17" x14ac:dyDescent="0.2">
      <c r="A41" t="s">
        <v>69</v>
      </c>
      <c r="B41" s="1" t="s">
        <v>70</v>
      </c>
      <c r="C41" s="1" t="s">
        <v>16</v>
      </c>
    </row>
    <row r="42" spans="1:3" ht="34" x14ac:dyDescent="0.2">
      <c r="A42" t="s">
        <v>71</v>
      </c>
      <c r="B42" s="1" t="s">
        <v>72</v>
      </c>
      <c r="C42" s="1" t="s">
        <v>16</v>
      </c>
    </row>
    <row r="43" spans="1:3" ht="34" x14ac:dyDescent="0.2">
      <c r="A43" t="s">
        <v>73</v>
      </c>
      <c r="B43" s="1" t="s">
        <v>74</v>
      </c>
      <c r="C43" s="1" t="s">
        <v>16</v>
      </c>
    </row>
    <row r="44" spans="1:3" ht="34" x14ac:dyDescent="0.2">
      <c r="A44" t="s">
        <v>75</v>
      </c>
      <c r="B44" s="1" t="s">
        <v>76</v>
      </c>
      <c r="C44" s="1" t="s">
        <v>16</v>
      </c>
    </row>
  </sheetData>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109C50-ED65-F341-904E-969EC1E7047E}">
  <dimension ref="A1:Z282"/>
  <sheetViews>
    <sheetView topLeftCell="E242" workbookViewId="0">
      <selection activeCell="E52" sqref="E52"/>
    </sheetView>
  </sheetViews>
  <sheetFormatPr baseColWidth="10" defaultRowHeight="16" x14ac:dyDescent="0.2"/>
  <cols>
    <col min="10" max="10" width="16" bestFit="1" customWidth="1"/>
    <col min="13" max="13" width="6" customWidth="1"/>
    <col min="16" max="17" width="7.33203125" customWidth="1"/>
    <col min="18" max="18" width="5.83203125" customWidth="1"/>
    <col min="19" max="19" width="6.1640625" customWidth="1"/>
    <col min="20" max="20" width="5.6640625" customWidth="1"/>
  </cols>
  <sheetData>
    <row r="1" spans="1:26" x14ac:dyDescent="0.2">
      <c r="A1" t="s">
        <v>274</v>
      </c>
      <c r="B1" t="s">
        <v>393</v>
      </c>
      <c r="C1" t="s">
        <v>394</v>
      </c>
      <c r="D1" t="s">
        <v>395</v>
      </c>
      <c r="E1" t="s">
        <v>396</v>
      </c>
      <c r="F1" t="s">
        <v>397</v>
      </c>
      <c r="I1" t="s">
        <v>274</v>
      </c>
      <c r="J1" t="s">
        <v>398</v>
      </c>
      <c r="K1" t="s">
        <v>399</v>
      </c>
      <c r="N1">
        <v>2013</v>
      </c>
      <c r="O1" t="s">
        <v>400</v>
      </c>
    </row>
    <row r="2" spans="1:26" x14ac:dyDescent="0.2">
      <c r="A2">
        <v>2000</v>
      </c>
      <c r="B2">
        <v>3022</v>
      </c>
      <c r="C2">
        <v>17</v>
      </c>
      <c r="D2">
        <v>12</v>
      </c>
      <c r="E2">
        <v>0</v>
      </c>
      <c r="F2">
        <v>0</v>
      </c>
      <c r="I2">
        <v>1997</v>
      </c>
      <c r="J2" t="s">
        <v>401</v>
      </c>
      <c r="K2">
        <v>35832</v>
      </c>
      <c r="N2" t="s">
        <v>402</v>
      </c>
      <c r="O2">
        <v>720</v>
      </c>
    </row>
    <row r="3" spans="1:26" x14ac:dyDescent="0.2">
      <c r="A3">
        <v>2002</v>
      </c>
      <c r="B3">
        <v>30998</v>
      </c>
      <c r="C3">
        <v>67</v>
      </c>
      <c r="D3">
        <v>26</v>
      </c>
      <c r="E3">
        <v>3</v>
      </c>
      <c r="F3">
        <v>3</v>
      </c>
      <c r="I3">
        <v>1999</v>
      </c>
      <c r="J3" t="s">
        <v>403</v>
      </c>
      <c r="K3">
        <v>102647</v>
      </c>
      <c r="N3" t="s">
        <v>404</v>
      </c>
      <c r="O3">
        <v>28</v>
      </c>
    </row>
    <row r="4" spans="1:26" x14ac:dyDescent="0.2">
      <c r="A4">
        <v>2003</v>
      </c>
      <c r="B4">
        <v>101221</v>
      </c>
      <c r="C4">
        <v>217</v>
      </c>
      <c r="D4">
        <v>71</v>
      </c>
      <c r="E4">
        <v>13</v>
      </c>
      <c r="F4">
        <v>16</v>
      </c>
      <c r="I4">
        <v>2001</v>
      </c>
      <c r="J4" t="s">
        <v>401</v>
      </c>
      <c r="K4">
        <v>47129</v>
      </c>
      <c r="N4" t="s">
        <v>405</v>
      </c>
      <c r="O4">
        <v>909</v>
      </c>
    </row>
    <row r="5" spans="1:26" x14ac:dyDescent="0.2">
      <c r="A5">
        <v>2004</v>
      </c>
      <c r="B5">
        <v>190200</v>
      </c>
      <c r="C5">
        <v>312</v>
      </c>
      <c r="D5">
        <v>59</v>
      </c>
      <c r="E5">
        <v>14</v>
      </c>
      <c r="F5">
        <v>21</v>
      </c>
      <c r="I5">
        <v>2004</v>
      </c>
      <c r="J5" t="s">
        <v>403</v>
      </c>
      <c r="K5">
        <v>808200</v>
      </c>
      <c r="N5" t="s">
        <v>406</v>
      </c>
      <c r="O5">
        <v>283</v>
      </c>
    </row>
    <row r="6" spans="1:26" x14ac:dyDescent="0.2">
      <c r="A6">
        <v>2006</v>
      </c>
      <c r="B6">
        <v>229389</v>
      </c>
      <c r="C6">
        <v>363</v>
      </c>
      <c r="D6">
        <v>78</v>
      </c>
      <c r="E6">
        <v>33</v>
      </c>
      <c r="F6">
        <v>48</v>
      </c>
      <c r="I6">
        <v>2005</v>
      </c>
      <c r="J6" t="s">
        <v>401</v>
      </c>
      <c r="K6">
        <v>192746</v>
      </c>
      <c r="N6" t="s">
        <v>407</v>
      </c>
      <c r="O6">
        <v>3986</v>
      </c>
    </row>
    <row r="7" spans="1:26" x14ac:dyDescent="0.2">
      <c r="A7">
        <v>2007</v>
      </c>
      <c r="B7">
        <v>292911</v>
      </c>
      <c r="C7">
        <v>744</v>
      </c>
      <c r="D7">
        <v>148</v>
      </c>
      <c r="E7">
        <v>10</v>
      </c>
      <c r="F7">
        <v>50</v>
      </c>
      <c r="I7">
        <v>2009</v>
      </c>
      <c r="J7" t="s">
        <v>403</v>
      </c>
      <c r="K7">
        <v>943598</v>
      </c>
      <c r="N7" t="s">
        <v>408</v>
      </c>
      <c r="O7">
        <f>SUM(P7:T7)</f>
        <v>281</v>
      </c>
      <c r="P7">
        <v>48</v>
      </c>
      <c r="Q7">
        <v>111</v>
      </c>
      <c r="R7">
        <v>49</v>
      </c>
      <c r="S7">
        <v>32</v>
      </c>
      <c r="T7">
        <v>41</v>
      </c>
    </row>
    <row r="8" spans="1:26" x14ac:dyDescent="0.2">
      <c r="A8">
        <v>2008</v>
      </c>
      <c r="B8">
        <v>240968</v>
      </c>
      <c r="C8">
        <v>612</v>
      </c>
      <c r="D8">
        <v>159</v>
      </c>
      <c r="E8">
        <v>15</v>
      </c>
      <c r="F8">
        <v>55</v>
      </c>
      <c r="I8">
        <v>2010</v>
      </c>
      <c r="J8" t="s">
        <v>401</v>
      </c>
      <c r="K8">
        <v>563743</v>
      </c>
      <c r="N8" t="s">
        <v>409</v>
      </c>
      <c r="O8">
        <v>1542</v>
      </c>
    </row>
    <row r="9" spans="1:26" x14ac:dyDescent="0.2">
      <c r="A9">
        <v>2009</v>
      </c>
      <c r="B9">
        <v>171088</v>
      </c>
      <c r="C9">
        <v>454</v>
      </c>
      <c r="E9">
        <v>3</v>
      </c>
      <c r="F9">
        <v>58</v>
      </c>
      <c r="I9">
        <v>2014</v>
      </c>
      <c r="J9" t="s">
        <v>403</v>
      </c>
      <c r="K9">
        <v>179694</v>
      </c>
      <c r="N9" t="s">
        <v>410</v>
      </c>
      <c r="O9">
        <v>435</v>
      </c>
    </row>
    <row r="10" spans="1:26" x14ac:dyDescent="0.2">
      <c r="A10">
        <v>2010</v>
      </c>
      <c r="B10">
        <v>347304</v>
      </c>
      <c r="C10">
        <v>772</v>
      </c>
      <c r="E10">
        <v>0</v>
      </c>
      <c r="F10">
        <v>28</v>
      </c>
      <c r="I10">
        <v>2015</v>
      </c>
      <c r="J10" t="s">
        <v>401</v>
      </c>
      <c r="K10">
        <v>1667</v>
      </c>
      <c r="N10" t="s">
        <v>411</v>
      </c>
      <c r="O10">
        <f>SUM(P10:Z10)</f>
        <v>1401</v>
      </c>
      <c r="P10">
        <v>226</v>
      </c>
      <c r="Q10">
        <v>245</v>
      </c>
      <c r="R10">
        <v>70</v>
      </c>
      <c r="S10">
        <v>36</v>
      </c>
      <c r="T10">
        <v>295</v>
      </c>
      <c r="U10">
        <v>71</v>
      </c>
      <c r="V10">
        <v>216</v>
      </c>
      <c r="W10">
        <v>39</v>
      </c>
      <c r="X10">
        <v>97</v>
      </c>
      <c r="Y10">
        <v>36</v>
      </c>
      <c r="Z10">
        <v>70</v>
      </c>
    </row>
    <row r="11" spans="1:26" x14ac:dyDescent="0.2">
      <c r="A11">
        <v>2011</v>
      </c>
      <c r="B11">
        <v>59844</v>
      </c>
      <c r="C11">
        <v>268</v>
      </c>
      <c r="E11">
        <v>0</v>
      </c>
      <c r="F11">
        <v>17</v>
      </c>
      <c r="N11" t="s">
        <v>412</v>
      </c>
      <c r="O11">
        <f>78+57</f>
        <v>135</v>
      </c>
      <c r="P11">
        <v>78</v>
      </c>
      <c r="Q11">
        <v>57</v>
      </c>
    </row>
    <row r="12" spans="1:26" x14ac:dyDescent="0.2">
      <c r="A12">
        <v>2012</v>
      </c>
      <c r="B12">
        <v>57863</v>
      </c>
      <c r="C12">
        <v>137</v>
      </c>
      <c r="E12">
        <v>0</v>
      </c>
      <c r="F12">
        <v>2</v>
      </c>
      <c r="N12" t="s">
        <v>413</v>
      </c>
      <c r="O12">
        <v>98</v>
      </c>
    </row>
    <row r="13" spans="1:26" x14ac:dyDescent="0.2">
      <c r="A13">
        <v>2013</v>
      </c>
      <c r="B13">
        <v>13813</v>
      </c>
      <c r="C13">
        <v>99</v>
      </c>
      <c r="E13">
        <v>0</v>
      </c>
      <c r="F13">
        <v>2</v>
      </c>
      <c r="N13" t="s">
        <v>414</v>
      </c>
      <c r="O13">
        <f>SUM(P13:W13)</f>
        <v>1256</v>
      </c>
      <c r="P13">
        <v>386</v>
      </c>
      <c r="Q13">
        <v>147</v>
      </c>
      <c r="R13">
        <v>146</v>
      </c>
      <c r="S13">
        <v>95</v>
      </c>
      <c r="T13">
        <v>100</v>
      </c>
      <c r="U13">
        <v>87</v>
      </c>
      <c r="V13">
        <v>164</v>
      </c>
      <c r="W13">
        <v>131</v>
      </c>
    </row>
    <row r="14" spans="1:26" x14ac:dyDescent="0.2">
      <c r="A14">
        <v>2014</v>
      </c>
      <c r="B14">
        <f>8222+8505</f>
        <v>16727</v>
      </c>
      <c r="C14">
        <v>93</v>
      </c>
      <c r="D14">
        <v>71</v>
      </c>
      <c r="E14">
        <v>0</v>
      </c>
      <c r="F14">
        <v>2</v>
      </c>
      <c r="N14" t="s">
        <v>415</v>
      </c>
      <c r="O14">
        <v>57</v>
      </c>
    </row>
    <row r="15" spans="1:26" x14ac:dyDescent="0.2">
      <c r="A15">
        <v>2015</v>
      </c>
      <c r="B15">
        <v>2074</v>
      </c>
      <c r="C15">
        <v>16</v>
      </c>
      <c r="D15">
        <v>11</v>
      </c>
      <c r="E15">
        <v>0</v>
      </c>
      <c r="F15">
        <v>1</v>
      </c>
      <c r="N15" t="s">
        <v>416</v>
      </c>
      <c r="O15">
        <v>1386</v>
      </c>
    </row>
    <row r="16" spans="1:26" x14ac:dyDescent="0.2">
      <c r="A16">
        <v>2016</v>
      </c>
      <c r="B16">
        <v>1005</v>
      </c>
      <c r="C16">
        <v>6</v>
      </c>
      <c r="D16">
        <v>5</v>
      </c>
      <c r="E16">
        <v>0</v>
      </c>
      <c r="F16">
        <v>1</v>
      </c>
      <c r="N16" t="s">
        <v>417</v>
      </c>
      <c r="O16">
        <v>681</v>
      </c>
    </row>
    <row r="17" spans="1:20" x14ac:dyDescent="0.2">
      <c r="N17" t="s">
        <v>418</v>
      </c>
      <c r="O17">
        <v>615</v>
      </c>
    </row>
    <row r="18" spans="1:20" x14ac:dyDescent="0.2">
      <c r="O18">
        <f>SUM(O2:O17)</f>
        <v>13813</v>
      </c>
    </row>
    <row r="20" spans="1:20" x14ac:dyDescent="0.2">
      <c r="A20">
        <v>2001</v>
      </c>
      <c r="B20">
        <v>867</v>
      </c>
      <c r="C20">
        <v>4</v>
      </c>
      <c r="D20">
        <v>3</v>
      </c>
      <c r="E20">
        <v>0</v>
      </c>
      <c r="F20">
        <v>0</v>
      </c>
      <c r="N20">
        <v>2012</v>
      </c>
    </row>
    <row r="21" spans="1:20" x14ac:dyDescent="0.2">
      <c r="A21">
        <v>2005</v>
      </c>
      <c r="B21">
        <v>21775</v>
      </c>
      <c r="C21">
        <v>41</v>
      </c>
      <c r="D21">
        <v>18</v>
      </c>
      <c r="E21">
        <v>0</v>
      </c>
      <c r="F21">
        <v>21</v>
      </c>
      <c r="M21">
        <v>5</v>
      </c>
      <c r="N21" t="s">
        <v>419</v>
      </c>
      <c r="O21">
        <v>839</v>
      </c>
    </row>
    <row r="22" spans="1:20" x14ac:dyDescent="0.2">
      <c r="B22" t="s">
        <v>420</v>
      </c>
      <c r="M22">
        <v>18</v>
      </c>
      <c r="N22" t="s">
        <v>421</v>
      </c>
      <c r="O22">
        <v>3306</v>
      </c>
    </row>
    <row r="23" spans="1:20" x14ac:dyDescent="0.2">
      <c r="M23">
        <v>1</v>
      </c>
      <c r="N23" t="s">
        <v>422</v>
      </c>
      <c r="O23">
        <v>260</v>
      </c>
    </row>
    <row r="24" spans="1:20" x14ac:dyDescent="0.2">
      <c r="A24" t="s">
        <v>274</v>
      </c>
      <c r="B24" t="s">
        <v>423</v>
      </c>
      <c r="C24" t="s">
        <v>398</v>
      </c>
      <c r="D24" t="s">
        <v>399</v>
      </c>
      <c r="M24">
        <v>1</v>
      </c>
      <c r="N24" t="s">
        <v>424</v>
      </c>
      <c r="O24">
        <v>549</v>
      </c>
    </row>
    <row r="25" spans="1:20" x14ac:dyDescent="0.2">
      <c r="A25">
        <v>1997</v>
      </c>
      <c r="C25" t="s">
        <v>401</v>
      </c>
      <c r="D25">
        <v>35832</v>
      </c>
      <c r="M25">
        <v>11</v>
      </c>
      <c r="N25" t="s">
        <v>425</v>
      </c>
      <c r="O25">
        <v>1718</v>
      </c>
    </row>
    <row r="26" spans="1:20" x14ac:dyDescent="0.2">
      <c r="A26">
        <v>1998</v>
      </c>
      <c r="M26">
        <v>2</v>
      </c>
      <c r="N26" t="s">
        <v>426</v>
      </c>
      <c r="O26">
        <f>107+120</f>
        <v>227</v>
      </c>
    </row>
    <row r="27" spans="1:20" x14ac:dyDescent="0.2">
      <c r="A27">
        <v>1999</v>
      </c>
      <c r="C27" t="s">
        <v>403</v>
      </c>
      <c r="D27">
        <v>102647</v>
      </c>
      <c r="M27">
        <v>1</v>
      </c>
      <c r="N27" t="s">
        <v>427</v>
      </c>
      <c r="O27">
        <v>893</v>
      </c>
    </row>
    <row r="28" spans="1:20" x14ac:dyDescent="0.2">
      <c r="A28">
        <v>2000</v>
      </c>
      <c r="M28">
        <v>2</v>
      </c>
      <c r="N28" t="s">
        <v>428</v>
      </c>
      <c r="O28">
        <v>179</v>
      </c>
    </row>
    <row r="29" spans="1:20" x14ac:dyDescent="0.2">
      <c r="A29">
        <v>2001</v>
      </c>
      <c r="B29">
        <v>2173</v>
      </c>
      <c r="C29" t="s">
        <v>401</v>
      </c>
      <c r="D29">
        <v>47129</v>
      </c>
      <c r="M29">
        <v>4</v>
      </c>
      <c r="N29" t="s">
        <v>429</v>
      </c>
      <c r="O29">
        <v>472</v>
      </c>
    </row>
    <row r="30" spans="1:20" x14ac:dyDescent="0.2">
      <c r="A30">
        <v>2002</v>
      </c>
      <c r="B30">
        <v>3487</v>
      </c>
      <c r="M30">
        <v>2</v>
      </c>
      <c r="N30" t="s">
        <v>430</v>
      </c>
      <c r="O30">
        <f>147+99</f>
        <v>246</v>
      </c>
    </row>
    <row r="31" spans="1:20" x14ac:dyDescent="0.2">
      <c r="A31">
        <v>2003</v>
      </c>
      <c r="B31">
        <v>5737</v>
      </c>
      <c r="M31">
        <v>5</v>
      </c>
      <c r="N31" t="s">
        <v>431</v>
      </c>
      <c r="O31">
        <f>SUM(P31:T31)</f>
        <v>2953</v>
      </c>
      <c r="P31">
        <v>872</v>
      </c>
      <c r="Q31">
        <v>435</v>
      </c>
      <c r="R31">
        <v>531</v>
      </c>
      <c r="S31">
        <v>395</v>
      </c>
      <c r="T31">
        <v>720</v>
      </c>
    </row>
    <row r="32" spans="1:20" x14ac:dyDescent="0.2">
      <c r="A32" s="20">
        <v>2004</v>
      </c>
      <c r="B32" s="20">
        <v>7916</v>
      </c>
      <c r="C32" s="20" t="s">
        <v>403</v>
      </c>
      <c r="D32">
        <v>808200</v>
      </c>
      <c r="M32">
        <v>4</v>
      </c>
      <c r="N32" t="s">
        <v>432</v>
      </c>
      <c r="O32">
        <v>391</v>
      </c>
    </row>
    <row r="33" spans="1:23" x14ac:dyDescent="0.2">
      <c r="A33" s="20">
        <v>2005</v>
      </c>
      <c r="B33" s="20">
        <v>6281</v>
      </c>
      <c r="C33" s="20" t="s">
        <v>401</v>
      </c>
      <c r="D33">
        <v>192746</v>
      </c>
      <c r="M33">
        <v>8</v>
      </c>
      <c r="N33" t="s">
        <v>433</v>
      </c>
      <c r="O33">
        <f>SUM(P33:W33)</f>
        <v>1778</v>
      </c>
      <c r="P33">
        <v>277</v>
      </c>
      <c r="Q33">
        <v>198</v>
      </c>
      <c r="R33">
        <v>202</v>
      </c>
      <c r="S33">
        <v>282</v>
      </c>
      <c r="T33">
        <v>240</v>
      </c>
      <c r="U33">
        <v>172</v>
      </c>
      <c r="V33">
        <v>197</v>
      </c>
      <c r="W33">
        <v>210</v>
      </c>
    </row>
    <row r="34" spans="1:23" x14ac:dyDescent="0.2">
      <c r="A34" s="20">
        <v>2006</v>
      </c>
      <c r="B34" s="20">
        <v>7789</v>
      </c>
      <c r="C34" s="20"/>
      <c r="M34">
        <v>2</v>
      </c>
      <c r="N34" t="s">
        <v>434</v>
      </c>
      <c r="O34">
        <f>213+163</f>
        <v>376</v>
      </c>
    </row>
    <row r="35" spans="1:23" x14ac:dyDescent="0.2">
      <c r="A35" s="20">
        <v>2007</v>
      </c>
      <c r="B35" s="20">
        <v>9297</v>
      </c>
      <c r="C35" s="20"/>
      <c r="M35">
        <v>1</v>
      </c>
      <c r="N35" t="s">
        <v>435</v>
      </c>
      <c r="O35">
        <v>150</v>
      </c>
    </row>
    <row r="36" spans="1:23" x14ac:dyDescent="0.2">
      <c r="A36">
        <v>2008</v>
      </c>
      <c r="B36">
        <v>9801</v>
      </c>
      <c r="M36">
        <v>8</v>
      </c>
      <c r="N36" t="s">
        <v>436</v>
      </c>
      <c r="O36">
        <f>SUM(P36:W36)</f>
        <v>1262</v>
      </c>
      <c r="P36">
        <v>123</v>
      </c>
      <c r="Q36">
        <v>107</v>
      </c>
      <c r="R36">
        <v>115</v>
      </c>
      <c r="S36">
        <v>83</v>
      </c>
      <c r="T36">
        <v>184</v>
      </c>
      <c r="U36">
        <v>227</v>
      </c>
      <c r="V36">
        <v>238</v>
      </c>
      <c r="W36">
        <v>185</v>
      </c>
    </row>
    <row r="37" spans="1:23" x14ac:dyDescent="0.2">
      <c r="A37">
        <v>2009</v>
      </c>
      <c r="B37">
        <v>12632</v>
      </c>
      <c r="C37" t="s">
        <v>403</v>
      </c>
      <c r="D37">
        <v>943598</v>
      </c>
      <c r="M37">
        <v>7</v>
      </c>
      <c r="N37" t="s">
        <v>437</v>
      </c>
      <c r="O37">
        <f>SUM(P37:V37)</f>
        <v>1382</v>
      </c>
      <c r="P37">
        <v>282</v>
      </c>
      <c r="Q37">
        <v>159</v>
      </c>
      <c r="R37">
        <v>129</v>
      </c>
      <c r="S37">
        <v>139</v>
      </c>
      <c r="T37">
        <v>152</v>
      </c>
      <c r="U37">
        <v>329</v>
      </c>
      <c r="V37">
        <v>192</v>
      </c>
    </row>
    <row r="38" spans="1:23" x14ac:dyDescent="0.2">
      <c r="A38">
        <v>2010</v>
      </c>
      <c r="B38">
        <v>10256</v>
      </c>
      <c r="C38" t="s">
        <v>401</v>
      </c>
      <c r="D38">
        <v>563743</v>
      </c>
      <c r="M38">
        <v>2</v>
      </c>
      <c r="N38" t="s">
        <v>438</v>
      </c>
      <c r="O38">
        <f>236+241</f>
        <v>477</v>
      </c>
    </row>
    <row r="39" spans="1:23" x14ac:dyDescent="0.2">
      <c r="A39">
        <v>2011</v>
      </c>
      <c r="B39">
        <v>7681</v>
      </c>
      <c r="M39">
        <v>2</v>
      </c>
      <c r="N39" t="s">
        <v>439</v>
      </c>
      <c r="O39">
        <f>264+230</f>
        <v>494</v>
      </c>
    </row>
    <row r="40" spans="1:23" x14ac:dyDescent="0.2">
      <c r="A40">
        <v>2012</v>
      </c>
      <c r="B40">
        <v>4872</v>
      </c>
      <c r="M40">
        <v>5</v>
      </c>
      <c r="N40" t="s">
        <v>440</v>
      </c>
      <c r="O40">
        <f>SUM(P40:T40)</f>
        <v>1003</v>
      </c>
      <c r="P40">
        <v>239</v>
      </c>
      <c r="Q40">
        <v>118</v>
      </c>
      <c r="R40">
        <v>131</v>
      </c>
      <c r="S40">
        <v>206</v>
      </c>
      <c r="T40">
        <v>309</v>
      </c>
    </row>
    <row r="41" spans="1:23" x14ac:dyDescent="0.2">
      <c r="A41">
        <v>2013</v>
      </c>
      <c r="B41">
        <v>4220</v>
      </c>
      <c r="C41" t="s">
        <v>403</v>
      </c>
      <c r="D41">
        <v>179694</v>
      </c>
      <c r="M41">
        <v>1</v>
      </c>
      <c r="N41" t="s">
        <v>441</v>
      </c>
      <c r="O41">
        <v>61</v>
      </c>
    </row>
    <row r="42" spans="1:23" x14ac:dyDescent="0.2">
      <c r="A42">
        <v>2014</v>
      </c>
      <c r="B42">
        <v>2992</v>
      </c>
      <c r="C42" t="s">
        <v>401</v>
      </c>
      <c r="D42">
        <v>1667</v>
      </c>
      <c r="M42">
        <v>3</v>
      </c>
      <c r="N42" t="s">
        <v>442</v>
      </c>
      <c r="O42">
        <f>SUM(P42:R42)</f>
        <v>738</v>
      </c>
      <c r="P42">
        <v>212</v>
      </c>
      <c r="Q42">
        <v>353</v>
      </c>
      <c r="R42">
        <v>173</v>
      </c>
    </row>
    <row r="43" spans="1:23" x14ac:dyDescent="0.2">
      <c r="M43">
        <v>1</v>
      </c>
      <c r="N43" t="s">
        <v>443</v>
      </c>
      <c r="O43">
        <v>230</v>
      </c>
    </row>
    <row r="44" spans="1:23" x14ac:dyDescent="0.2">
      <c r="M44">
        <v>2</v>
      </c>
      <c r="N44" t="s">
        <v>444</v>
      </c>
      <c r="O44">
        <v>266</v>
      </c>
    </row>
    <row r="45" spans="1:23" x14ac:dyDescent="0.2">
      <c r="M45">
        <v>3</v>
      </c>
      <c r="N45" t="s">
        <v>445</v>
      </c>
      <c r="O45">
        <v>1031</v>
      </c>
    </row>
    <row r="46" spans="1:23" x14ac:dyDescent="0.2">
      <c r="M46">
        <v>1</v>
      </c>
      <c r="N46" t="s">
        <v>446</v>
      </c>
      <c r="O46">
        <v>48</v>
      </c>
    </row>
    <row r="47" spans="1:23" x14ac:dyDescent="0.2">
      <c r="M47">
        <v>2</v>
      </c>
      <c r="N47" t="s">
        <v>447</v>
      </c>
      <c r="O47">
        <v>92</v>
      </c>
    </row>
    <row r="48" spans="1:23" x14ac:dyDescent="0.2">
      <c r="M48">
        <v>8</v>
      </c>
      <c r="N48" t="s">
        <v>448</v>
      </c>
      <c r="O48">
        <v>936</v>
      </c>
    </row>
    <row r="49" spans="13:20" x14ac:dyDescent="0.2">
      <c r="M49">
        <v>5</v>
      </c>
      <c r="N49" t="s">
        <v>402</v>
      </c>
      <c r="O49">
        <f>SUM(P49:T49)</f>
        <v>1090</v>
      </c>
      <c r="P49">
        <v>59</v>
      </c>
      <c r="Q49">
        <v>245</v>
      </c>
      <c r="R49">
        <v>384</v>
      </c>
      <c r="S49">
        <v>272</v>
      </c>
      <c r="T49">
        <v>130</v>
      </c>
    </row>
    <row r="50" spans="13:20" x14ac:dyDescent="0.2">
      <c r="M50">
        <v>6</v>
      </c>
      <c r="N50" t="s">
        <v>449</v>
      </c>
      <c r="O50">
        <v>1151</v>
      </c>
    </row>
    <row r="51" spans="13:20" x14ac:dyDescent="0.2">
      <c r="M51">
        <v>1</v>
      </c>
      <c r="N51" t="s">
        <v>450</v>
      </c>
      <c r="O51">
        <v>88</v>
      </c>
    </row>
    <row r="52" spans="13:20" x14ac:dyDescent="0.2">
      <c r="M52">
        <v>1</v>
      </c>
      <c r="N52" t="s">
        <v>451</v>
      </c>
      <c r="O52">
        <v>91</v>
      </c>
    </row>
    <row r="53" spans="13:20" x14ac:dyDescent="0.2">
      <c r="M53">
        <v>2</v>
      </c>
      <c r="N53" t="s">
        <v>452</v>
      </c>
      <c r="O53">
        <f>94+56</f>
        <v>150</v>
      </c>
    </row>
    <row r="54" spans="13:20" x14ac:dyDescent="0.2">
      <c r="M54">
        <v>1</v>
      </c>
      <c r="N54" t="s">
        <v>453</v>
      </c>
      <c r="O54">
        <v>49</v>
      </c>
    </row>
    <row r="55" spans="13:20" x14ac:dyDescent="0.2">
      <c r="M55">
        <v>3</v>
      </c>
      <c r="N55" t="s">
        <v>454</v>
      </c>
      <c r="O55">
        <v>684</v>
      </c>
    </row>
    <row r="56" spans="13:20" x14ac:dyDescent="0.2">
      <c r="M56">
        <v>1</v>
      </c>
      <c r="N56" t="s">
        <v>455</v>
      </c>
      <c r="O56">
        <v>150</v>
      </c>
    </row>
    <row r="57" spans="13:20" x14ac:dyDescent="0.2">
      <c r="M57">
        <v>1</v>
      </c>
      <c r="N57" t="s">
        <v>456</v>
      </c>
      <c r="O57">
        <v>28751</v>
      </c>
    </row>
    <row r="58" spans="13:20" x14ac:dyDescent="0.2">
      <c r="M58">
        <v>1</v>
      </c>
      <c r="N58" t="s">
        <v>433</v>
      </c>
      <c r="O58">
        <v>2026</v>
      </c>
    </row>
    <row r="59" spans="13:20" x14ac:dyDescent="0.2">
      <c r="M59">
        <v>1</v>
      </c>
      <c r="N59" t="s">
        <v>428</v>
      </c>
      <c r="O59">
        <v>1015</v>
      </c>
    </row>
    <row r="60" spans="13:20" x14ac:dyDescent="0.2">
      <c r="M60">
        <v>1</v>
      </c>
      <c r="N60" t="s">
        <v>457</v>
      </c>
      <c r="O60">
        <v>151</v>
      </c>
    </row>
    <row r="61" spans="13:20" x14ac:dyDescent="0.2">
      <c r="M61">
        <v>1</v>
      </c>
      <c r="N61" t="s">
        <v>458</v>
      </c>
      <c r="O61">
        <v>110</v>
      </c>
    </row>
    <row r="62" spans="13:20" x14ac:dyDescent="0.2">
      <c r="M62">
        <f>SUM(M21:M61)</f>
        <v>137</v>
      </c>
      <c r="O62">
        <f>SUM(O21:O61)</f>
        <v>57863</v>
      </c>
    </row>
    <row r="65" spans="13:20" x14ac:dyDescent="0.2">
      <c r="N65">
        <v>2011</v>
      </c>
    </row>
    <row r="66" spans="13:20" x14ac:dyDescent="0.2">
      <c r="M66">
        <v>1</v>
      </c>
      <c r="N66" t="s">
        <v>422</v>
      </c>
      <c r="O66">
        <v>299</v>
      </c>
    </row>
    <row r="67" spans="13:20" x14ac:dyDescent="0.2">
      <c r="M67">
        <v>5</v>
      </c>
      <c r="N67" t="s">
        <v>429</v>
      </c>
      <c r="O67">
        <f>SUM(P67:T67)</f>
        <v>1514</v>
      </c>
      <c r="P67">
        <v>320</v>
      </c>
      <c r="Q67">
        <v>321</v>
      </c>
      <c r="R67">
        <v>186</v>
      </c>
      <c r="S67">
        <v>313</v>
      </c>
      <c r="T67">
        <v>374</v>
      </c>
    </row>
    <row r="68" spans="13:20" x14ac:dyDescent="0.2">
      <c r="M68">
        <v>5</v>
      </c>
      <c r="N68" t="s">
        <v>433</v>
      </c>
      <c r="O68">
        <f>SUM(P68:T68)</f>
        <v>871</v>
      </c>
      <c r="P68">
        <v>195</v>
      </c>
      <c r="Q68">
        <v>167</v>
      </c>
      <c r="R68">
        <v>167</v>
      </c>
      <c r="S68">
        <v>204</v>
      </c>
      <c r="T68">
        <v>138</v>
      </c>
    </row>
    <row r="69" spans="13:20" x14ac:dyDescent="0.2">
      <c r="M69">
        <v>5</v>
      </c>
      <c r="N69" t="s">
        <v>437</v>
      </c>
      <c r="O69">
        <f>SUM(P69:T69)</f>
        <v>938</v>
      </c>
      <c r="P69">
        <v>170</v>
      </c>
      <c r="Q69">
        <v>204</v>
      </c>
      <c r="R69">
        <v>291</v>
      </c>
      <c r="S69">
        <v>177</v>
      </c>
      <c r="T69">
        <v>96</v>
      </c>
    </row>
    <row r="70" spans="13:20" x14ac:dyDescent="0.2">
      <c r="M70">
        <v>5</v>
      </c>
      <c r="N70" t="s">
        <v>438</v>
      </c>
      <c r="O70">
        <f>SUM(P70:T70)</f>
        <v>1388</v>
      </c>
      <c r="P70">
        <v>239</v>
      </c>
      <c r="Q70">
        <v>282</v>
      </c>
      <c r="R70">
        <v>340</v>
      </c>
      <c r="S70">
        <v>192</v>
      </c>
      <c r="T70">
        <v>335</v>
      </c>
    </row>
    <row r="71" spans="13:20" x14ac:dyDescent="0.2">
      <c r="M71">
        <v>3</v>
      </c>
      <c r="N71" t="s">
        <v>440</v>
      </c>
      <c r="O71">
        <f>SUM(P71:T71)</f>
        <v>777</v>
      </c>
      <c r="P71">
        <v>242</v>
      </c>
      <c r="Q71">
        <v>296</v>
      </c>
      <c r="R71">
        <v>239</v>
      </c>
    </row>
    <row r="72" spans="13:20" x14ac:dyDescent="0.2">
      <c r="M72">
        <v>2</v>
      </c>
      <c r="N72" t="s">
        <v>459</v>
      </c>
      <c r="O72">
        <f t="shared" ref="O72:O75" si="0">SUM(P72:T72)</f>
        <v>170</v>
      </c>
      <c r="P72">
        <v>65</v>
      </c>
      <c r="Q72">
        <v>105</v>
      </c>
    </row>
    <row r="73" spans="13:20" x14ac:dyDescent="0.2">
      <c r="M73">
        <v>4</v>
      </c>
      <c r="N73" t="s">
        <v>428</v>
      </c>
      <c r="O73">
        <f t="shared" si="0"/>
        <v>339</v>
      </c>
      <c r="P73">
        <v>105</v>
      </c>
      <c r="Q73">
        <v>44</v>
      </c>
      <c r="R73">
        <v>126</v>
      </c>
      <c r="S73">
        <v>64</v>
      </c>
    </row>
    <row r="74" spans="13:20" x14ac:dyDescent="0.2">
      <c r="M74">
        <v>3</v>
      </c>
      <c r="N74" t="s">
        <v>432</v>
      </c>
      <c r="O74">
        <f t="shared" si="0"/>
        <v>524</v>
      </c>
      <c r="P74">
        <v>179</v>
      </c>
      <c r="Q74">
        <v>184</v>
      </c>
      <c r="R74">
        <v>161</v>
      </c>
    </row>
    <row r="75" spans="13:20" x14ac:dyDescent="0.2">
      <c r="M75">
        <v>4</v>
      </c>
      <c r="N75" t="s">
        <v>460</v>
      </c>
      <c r="O75">
        <f t="shared" si="0"/>
        <v>324</v>
      </c>
      <c r="P75">
        <v>67</v>
      </c>
      <c r="Q75">
        <v>56</v>
      </c>
      <c r="R75">
        <v>130</v>
      </c>
      <c r="S75">
        <v>71</v>
      </c>
    </row>
    <row r="76" spans="13:20" x14ac:dyDescent="0.2">
      <c r="M76">
        <v>19</v>
      </c>
      <c r="N76" t="s">
        <v>419</v>
      </c>
      <c r="O76">
        <v>4645</v>
      </c>
    </row>
    <row r="77" spans="13:20" x14ac:dyDescent="0.2">
      <c r="M77">
        <v>4</v>
      </c>
      <c r="N77" t="s">
        <v>461</v>
      </c>
      <c r="O77">
        <v>1302</v>
      </c>
    </row>
    <row r="78" spans="13:20" x14ac:dyDescent="0.2">
      <c r="M78">
        <v>6</v>
      </c>
      <c r="N78" t="s">
        <v>431</v>
      </c>
      <c r="O78">
        <v>2647</v>
      </c>
    </row>
    <row r="79" spans="13:20" x14ac:dyDescent="0.2">
      <c r="M79">
        <v>2</v>
      </c>
      <c r="N79" t="s">
        <v>462</v>
      </c>
      <c r="O79">
        <v>647</v>
      </c>
    </row>
    <row r="80" spans="13:20" x14ac:dyDescent="0.2">
      <c r="M80">
        <v>11</v>
      </c>
      <c r="N80" t="s">
        <v>430</v>
      </c>
      <c r="O80">
        <v>2050</v>
      </c>
    </row>
    <row r="81" spans="13:15" x14ac:dyDescent="0.2">
      <c r="M81">
        <v>1</v>
      </c>
      <c r="N81" t="s">
        <v>463</v>
      </c>
      <c r="O81">
        <v>96</v>
      </c>
    </row>
    <row r="82" spans="13:15" x14ac:dyDescent="0.2">
      <c r="M82">
        <v>7</v>
      </c>
      <c r="N82" t="s">
        <v>436</v>
      </c>
      <c r="O82">
        <v>1054</v>
      </c>
    </row>
    <row r="83" spans="13:15" x14ac:dyDescent="0.2">
      <c r="M83">
        <v>15</v>
      </c>
      <c r="N83" t="s">
        <v>421</v>
      </c>
      <c r="O83">
        <v>4819</v>
      </c>
    </row>
    <row r="84" spans="13:15" x14ac:dyDescent="0.2">
      <c r="M84">
        <v>13</v>
      </c>
      <c r="N84" t="s">
        <v>425</v>
      </c>
      <c r="O84">
        <v>3045</v>
      </c>
    </row>
    <row r="85" spans="13:15" x14ac:dyDescent="0.2">
      <c r="M85">
        <v>2</v>
      </c>
      <c r="N85" t="s">
        <v>426</v>
      </c>
      <c r="O85">
        <v>364</v>
      </c>
    </row>
    <row r="86" spans="13:15" x14ac:dyDescent="0.2">
      <c r="M86">
        <v>2</v>
      </c>
      <c r="N86" t="s">
        <v>434</v>
      </c>
      <c r="O86">
        <v>616</v>
      </c>
    </row>
    <row r="87" spans="13:15" x14ac:dyDescent="0.2">
      <c r="M87">
        <v>2</v>
      </c>
      <c r="N87" t="s">
        <v>435</v>
      </c>
      <c r="O87">
        <v>305</v>
      </c>
    </row>
    <row r="88" spans="13:15" x14ac:dyDescent="0.2">
      <c r="M88">
        <v>1</v>
      </c>
      <c r="N88" t="s">
        <v>439</v>
      </c>
      <c r="O88">
        <v>307</v>
      </c>
    </row>
    <row r="89" spans="13:15" x14ac:dyDescent="0.2">
      <c r="M89">
        <v>3</v>
      </c>
      <c r="N89" t="s">
        <v>442</v>
      </c>
      <c r="O89">
        <v>854</v>
      </c>
    </row>
    <row r="90" spans="13:15" x14ac:dyDescent="0.2">
      <c r="M90">
        <v>1</v>
      </c>
      <c r="N90" t="s">
        <v>424</v>
      </c>
      <c r="O90">
        <v>1461</v>
      </c>
    </row>
    <row r="91" spans="13:15" x14ac:dyDescent="0.2">
      <c r="M91">
        <v>6</v>
      </c>
      <c r="N91" t="s">
        <v>464</v>
      </c>
      <c r="O91">
        <v>2099</v>
      </c>
    </row>
    <row r="92" spans="13:15" x14ac:dyDescent="0.2">
      <c r="M92">
        <v>4</v>
      </c>
      <c r="N92" t="s">
        <v>465</v>
      </c>
      <c r="O92">
        <v>923</v>
      </c>
    </row>
    <row r="93" spans="13:15" x14ac:dyDescent="0.2">
      <c r="M93">
        <v>2</v>
      </c>
      <c r="N93" t="s">
        <v>427</v>
      </c>
      <c r="O93">
        <v>1105</v>
      </c>
    </row>
    <row r="94" spans="13:15" x14ac:dyDescent="0.2">
      <c r="M94">
        <v>2</v>
      </c>
      <c r="N94" t="s">
        <v>466</v>
      </c>
      <c r="O94">
        <v>759</v>
      </c>
    </row>
    <row r="95" spans="13:15" x14ac:dyDescent="0.2">
      <c r="M95">
        <v>5</v>
      </c>
      <c r="N95" t="s">
        <v>445</v>
      </c>
      <c r="O95">
        <v>1586</v>
      </c>
    </row>
    <row r="96" spans="13:15" x14ac:dyDescent="0.2">
      <c r="M96">
        <v>2</v>
      </c>
      <c r="N96" t="s">
        <v>467</v>
      </c>
      <c r="O96">
        <v>381</v>
      </c>
    </row>
    <row r="97" spans="13:15" x14ac:dyDescent="0.2">
      <c r="M97">
        <v>1</v>
      </c>
      <c r="N97" t="s">
        <v>468</v>
      </c>
      <c r="O97">
        <v>250</v>
      </c>
    </row>
    <row r="98" spans="13:15" x14ac:dyDescent="0.2">
      <c r="M98">
        <v>2</v>
      </c>
      <c r="N98" t="s">
        <v>469</v>
      </c>
      <c r="O98">
        <v>238</v>
      </c>
    </row>
    <row r="99" spans="13:15" x14ac:dyDescent="0.2">
      <c r="M99">
        <v>7</v>
      </c>
      <c r="N99" t="s">
        <v>470</v>
      </c>
      <c r="O99">
        <v>1368</v>
      </c>
    </row>
    <row r="100" spans="13:15" x14ac:dyDescent="0.2">
      <c r="M100">
        <v>1</v>
      </c>
      <c r="N100" t="s">
        <v>443</v>
      </c>
      <c r="O100">
        <v>211</v>
      </c>
    </row>
    <row r="101" spans="13:15" x14ac:dyDescent="0.2">
      <c r="M101">
        <v>1</v>
      </c>
      <c r="N101" t="s">
        <v>471</v>
      </c>
      <c r="O101">
        <v>103</v>
      </c>
    </row>
    <row r="102" spans="13:15" x14ac:dyDescent="0.2">
      <c r="M102">
        <v>3</v>
      </c>
      <c r="N102" t="s">
        <v>444</v>
      </c>
      <c r="O102">
        <v>598</v>
      </c>
    </row>
    <row r="103" spans="13:15" x14ac:dyDescent="0.2">
      <c r="M103">
        <v>1</v>
      </c>
      <c r="N103" t="s">
        <v>472</v>
      </c>
      <c r="O103">
        <v>151</v>
      </c>
    </row>
    <row r="104" spans="13:15" x14ac:dyDescent="0.2">
      <c r="M104">
        <v>1</v>
      </c>
      <c r="N104" t="s">
        <v>473</v>
      </c>
      <c r="O104">
        <v>115</v>
      </c>
    </row>
    <row r="105" spans="13:15" x14ac:dyDescent="0.2">
      <c r="M105">
        <v>1</v>
      </c>
      <c r="N105" t="s">
        <v>474</v>
      </c>
      <c r="O105">
        <v>150</v>
      </c>
    </row>
    <row r="106" spans="13:15" x14ac:dyDescent="0.2">
      <c r="M106">
        <v>1</v>
      </c>
      <c r="N106" t="s">
        <v>475</v>
      </c>
      <c r="O106">
        <v>196</v>
      </c>
    </row>
    <row r="107" spans="13:15" x14ac:dyDescent="0.2">
      <c r="M107">
        <v>1</v>
      </c>
      <c r="N107" t="s">
        <v>476</v>
      </c>
      <c r="O107">
        <v>142</v>
      </c>
    </row>
    <row r="108" spans="13:15" x14ac:dyDescent="0.2">
      <c r="M108">
        <v>1</v>
      </c>
      <c r="N108" t="s">
        <v>477</v>
      </c>
      <c r="O108">
        <v>112</v>
      </c>
    </row>
    <row r="109" spans="13:15" x14ac:dyDescent="0.2">
      <c r="M109">
        <v>2</v>
      </c>
      <c r="N109" t="s">
        <v>478</v>
      </c>
      <c r="O109">
        <v>264</v>
      </c>
    </row>
    <row r="110" spans="13:15" x14ac:dyDescent="0.2">
      <c r="M110">
        <v>1</v>
      </c>
      <c r="N110" t="s">
        <v>479</v>
      </c>
      <c r="O110">
        <v>73</v>
      </c>
    </row>
    <row r="111" spans="13:15" x14ac:dyDescent="0.2">
      <c r="M111">
        <v>10</v>
      </c>
      <c r="N111" t="s">
        <v>480</v>
      </c>
      <c r="O111">
        <v>2528</v>
      </c>
    </row>
    <row r="112" spans="13:15" x14ac:dyDescent="0.2">
      <c r="M112">
        <v>1</v>
      </c>
      <c r="N112" t="s">
        <v>481</v>
      </c>
      <c r="O112">
        <v>145</v>
      </c>
    </row>
    <row r="113" spans="13:15" x14ac:dyDescent="0.2">
      <c r="M113">
        <v>1</v>
      </c>
      <c r="N113" t="s">
        <v>482</v>
      </c>
      <c r="O113">
        <v>159</v>
      </c>
    </row>
    <row r="114" spans="13:15" x14ac:dyDescent="0.2">
      <c r="M114">
        <v>6</v>
      </c>
      <c r="N114" t="s">
        <v>483</v>
      </c>
      <c r="O114">
        <v>1076</v>
      </c>
    </row>
    <row r="115" spans="13:15" x14ac:dyDescent="0.2">
      <c r="M115">
        <v>6</v>
      </c>
      <c r="N115" t="s">
        <v>484</v>
      </c>
      <c r="O115">
        <v>893</v>
      </c>
    </row>
    <row r="116" spans="13:15" x14ac:dyDescent="0.2">
      <c r="M116">
        <v>4</v>
      </c>
      <c r="N116" t="s">
        <v>485</v>
      </c>
      <c r="O116">
        <v>541</v>
      </c>
    </row>
    <row r="117" spans="13:15" x14ac:dyDescent="0.2">
      <c r="M117">
        <v>1</v>
      </c>
      <c r="N117" t="s">
        <v>486</v>
      </c>
      <c r="O117">
        <v>94</v>
      </c>
    </row>
    <row r="118" spans="13:15" x14ac:dyDescent="0.2">
      <c r="M118">
        <v>5</v>
      </c>
      <c r="N118" t="s">
        <v>402</v>
      </c>
      <c r="O118">
        <v>813</v>
      </c>
    </row>
    <row r="119" spans="13:15" x14ac:dyDescent="0.2">
      <c r="M119">
        <v>8</v>
      </c>
      <c r="N119" t="s">
        <v>487</v>
      </c>
      <c r="O119">
        <v>938</v>
      </c>
    </row>
    <row r="120" spans="13:15" x14ac:dyDescent="0.2">
      <c r="M120">
        <v>3</v>
      </c>
      <c r="N120" t="s">
        <v>488</v>
      </c>
      <c r="O120">
        <v>508</v>
      </c>
    </row>
    <row r="121" spans="13:15" x14ac:dyDescent="0.2">
      <c r="M121">
        <v>1</v>
      </c>
      <c r="N121" t="s">
        <v>489</v>
      </c>
      <c r="O121">
        <v>356</v>
      </c>
    </row>
    <row r="122" spans="13:15" x14ac:dyDescent="0.2">
      <c r="M122">
        <v>1</v>
      </c>
      <c r="N122" t="s">
        <v>490</v>
      </c>
      <c r="O122">
        <v>132</v>
      </c>
    </row>
    <row r="123" spans="13:15" x14ac:dyDescent="0.2">
      <c r="M123">
        <v>3</v>
      </c>
      <c r="N123" t="s">
        <v>491</v>
      </c>
      <c r="O123">
        <v>611</v>
      </c>
    </row>
    <row r="124" spans="13:15" x14ac:dyDescent="0.2">
      <c r="M124">
        <v>2</v>
      </c>
      <c r="N124" t="s">
        <v>492</v>
      </c>
      <c r="O124">
        <v>236</v>
      </c>
    </row>
    <row r="125" spans="13:15" x14ac:dyDescent="0.2">
      <c r="M125">
        <v>1</v>
      </c>
      <c r="N125" t="s">
        <v>493</v>
      </c>
      <c r="O125">
        <v>102</v>
      </c>
    </row>
    <row r="126" spans="13:15" x14ac:dyDescent="0.2">
      <c r="M126">
        <v>8</v>
      </c>
      <c r="N126" t="s">
        <v>449</v>
      </c>
      <c r="O126">
        <v>1549</v>
      </c>
    </row>
    <row r="127" spans="13:15" x14ac:dyDescent="0.2">
      <c r="M127">
        <v>3</v>
      </c>
      <c r="N127" t="s">
        <v>454</v>
      </c>
      <c r="O127">
        <v>452</v>
      </c>
    </row>
    <row r="128" spans="13:15" x14ac:dyDescent="0.2">
      <c r="M128">
        <v>1</v>
      </c>
      <c r="N128" t="s">
        <v>494</v>
      </c>
      <c r="O128">
        <v>218</v>
      </c>
    </row>
    <row r="129" spans="13:15" x14ac:dyDescent="0.2">
      <c r="M129">
        <v>3</v>
      </c>
      <c r="N129" t="s">
        <v>495</v>
      </c>
      <c r="O129">
        <v>959</v>
      </c>
    </row>
    <row r="130" spans="13:15" x14ac:dyDescent="0.2">
      <c r="M130">
        <v>3</v>
      </c>
      <c r="N130" t="s">
        <v>496</v>
      </c>
      <c r="O130">
        <v>616</v>
      </c>
    </row>
    <row r="131" spans="13:15" x14ac:dyDescent="0.2">
      <c r="M131">
        <v>2</v>
      </c>
      <c r="N131" t="s">
        <v>497</v>
      </c>
      <c r="O131">
        <v>232</v>
      </c>
    </row>
    <row r="132" spans="13:15" x14ac:dyDescent="0.2">
      <c r="M132">
        <v>1</v>
      </c>
      <c r="N132" t="s">
        <v>498</v>
      </c>
      <c r="O132">
        <v>220</v>
      </c>
    </row>
    <row r="133" spans="13:15" x14ac:dyDescent="0.2">
      <c r="M133">
        <v>2</v>
      </c>
      <c r="N133" t="s">
        <v>499</v>
      </c>
      <c r="O133">
        <v>375</v>
      </c>
    </row>
    <row r="134" spans="13:15" x14ac:dyDescent="0.2">
      <c r="M134">
        <v>3</v>
      </c>
      <c r="N134" t="s">
        <v>500</v>
      </c>
      <c r="O134">
        <v>631</v>
      </c>
    </row>
    <row r="135" spans="13:15" x14ac:dyDescent="0.2">
      <c r="M135">
        <v>1</v>
      </c>
      <c r="N135" t="s">
        <v>501</v>
      </c>
      <c r="O135">
        <v>141</v>
      </c>
    </row>
    <row r="136" spans="13:15" x14ac:dyDescent="0.2">
      <c r="M136">
        <v>3</v>
      </c>
      <c r="N136" t="s">
        <v>502</v>
      </c>
      <c r="O136">
        <v>471</v>
      </c>
    </row>
    <row r="137" spans="13:15" x14ac:dyDescent="0.2">
      <c r="M137">
        <v>3</v>
      </c>
      <c r="N137" t="s">
        <v>503</v>
      </c>
      <c r="O137">
        <v>471</v>
      </c>
    </row>
    <row r="138" spans="13:15" x14ac:dyDescent="0.2">
      <c r="M138">
        <v>1</v>
      </c>
      <c r="N138" t="s">
        <v>504</v>
      </c>
      <c r="O138">
        <v>167</v>
      </c>
    </row>
    <row r="139" spans="13:15" x14ac:dyDescent="0.2">
      <c r="M139">
        <v>3</v>
      </c>
      <c r="N139" t="s">
        <v>505</v>
      </c>
      <c r="O139">
        <v>876</v>
      </c>
    </row>
    <row r="140" spans="13:15" x14ac:dyDescent="0.2">
      <c r="M140">
        <v>1</v>
      </c>
      <c r="N140" t="s">
        <v>506</v>
      </c>
      <c r="O140">
        <v>151</v>
      </c>
    </row>
    <row r="141" spans="13:15" x14ac:dyDescent="0.2">
      <c r="M141">
        <v>5</v>
      </c>
      <c r="N141" t="s">
        <v>507</v>
      </c>
      <c r="O141">
        <v>821</v>
      </c>
    </row>
    <row r="142" spans="13:15" x14ac:dyDescent="0.2">
      <c r="M142">
        <v>1</v>
      </c>
      <c r="N142" t="s">
        <v>455</v>
      </c>
      <c r="O142">
        <v>182</v>
      </c>
    </row>
    <row r="143" spans="13:15" x14ac:dyDescent="0.2">
      <c r="M143">
        <f>SUM(M66:M142)</f>
        <v>268</v>
      </c>
      <c r="O143">
        <f>SUM(O66:O142)</f>
        <v>59844</v>
      </c>
    </row>
    <row r="146" spans="13:15" x14ac:dyDescent="0.2">
      <c r="N146">
        <v>2010</v>
      </c>
    </row>
    <row r="147" spans="13:15" x14ac:dyDescent="0.2">
      <c r="M147">
        <v>41</v>
      </c>
      <c r="N147" t="s">
        <v>508</v>
      </c>
      <c r="O147">
        <v>15092</v>
      </c>
    </row>
    <row r="148" spans="13:15" x14ac:dyDescent="0.2">
      <c r="M148">
        <v>1</v>
      </c>
      <c r="N148" t="s">
        <v>509</v>
      </c>
      <c r="O148">
        <v>364</v>
      </c>
    </row>
    <row r="149" spans="13:15" x14ac:dyDescent="0.2">
      <c r="M149">
        <v>1</v>
      </c>
      <c r="N149" t="s">
        <v>510</v>
      </c>
      <c r="O149">
        <v>163</v>
      </c>
    </row>
    <row r="150" spans="13:15" x14ac:dyDescent="0.2">
      <c r="M150">
        <v>3</v>
      </c>
      <c r="N150" t="s">
        <v>511</v>
      </c>
      <c r="O150">
        <v>450</v>
      </c>
    </row>
    <row r="151" spans="13:15" x14ac:dyDescent="0.2">
      <c r="M151">
        <v>2</v>
      </c>
      <c r="N151" t="s">
        <v>512</v>
      </c>
      <c r="O151">
        <v>847</v>
      </c>
    </row>
    <row r="152" spans="13:15" x14ac:dyDescent="0.2">
      <c r="M152">
        <v>4</v>
      </c>
      <c r="N152" t="s">
        <v>513</v>
      </c>
      <c r="O152">
        <v>1733</v>
      </c>
    </row>
    <row r="153" spans="13:15" x14ac:dyDescent="0.2">
      <c r="M153">
        <v>9</v>
      </c>
      <c r="N153" t="s">
        <v>514</v>
      </c>
      <c r="O153">
        <v>4077</v>
      </c>
    </row>
    <row r="154" spans="13:15" x14ac:dyDescent="0.2">
      <c r="M154">
        <v>4</v>
      </c>
      <c r="N154" t="s">
        <v>515</v>
      </c>
      <c r="O154">
        <v>2534</v>
      </c>
    </row>
    <row r="155" spans="13:15" x14ac:dyDescent="0.2">
      <c r="M155">
        <v>6</v>
      </c>
      <c r="N155" t="s">
        <v>516</v>
      </c>
      <c r="O155">
        <v>3098</v>
      </c>
    </row>
    <row r="156" spans="13:15" x14ac:dyDescent="0.2">
      <c r="M156">
        <v>1</v>
      </c>
      <c r="N156" t="s">
        <v>517</v>
      </c>
      <c r="O156">
        <v>257</v>
      </c>
    </row>
    <row r="157" spans="13:15" x14ac:dyDescent="0.2">
      <c r="M157">
        <v>8</v>
      </c>
      <c r="N157" t="s">
        <v>518</v>
      </c>
      <c r="O157">
        <v>2812</v>
      </c>
    </row>
    <row r="158" spans="13:15" x14ac:dyDescent="0.2">
      <c r="M158">
        <v>4</v>
      </c>
      <c r="N158" t="s">
        <v>519</v>
      </c>
      <c r="O158">
        <v>1385</v>
      </c>
    </row>
    <row r="159" spans="13:15" x14ac:dyDescent="0.2">
      <c r="M159">
        <v>26</v>
      </c>
      <c r="N159" t="s">
        <v>520</v>
      </c>
      <c r="O159">
        <v>13796</v>
      </c>
    </row>
    <row r="160" spans="13:15" x14ac:dyDescent="0.2">
      <c r="M160">
        <v>3</v>
      </c>
      <c r="N160" t="s">
        <v>521</v>
      </c>
      <c r="O160">
        <v>1739</v>
      </c>
    </row>
    <row r="161" spans="13:15" x14ac:dyDescent="0.2">
      <c r="M161">
        <v>9</v>
      </c>
      <c r="N161" t="s">
        <v>522</v>
      </c>
      <c r="O161">
        <v>3363</v>
      </c>
    </row>
    <row r="162" spans="13:15" x14ac:dyDescent="0.2">
      <c r="M162">
        <v>13</v>
      </c>
      <c r="N162" t="s">
        <v>523</v>
      </c>
      <c r="O162">
        <v>6843</v>
      </c>
    </row>
    <row r="163" spans="13:15" x14ac:dyDescent="0.2">
      <c r="M163">
        <v>6</v>
      </c>
      <c r="N163" t="s">
        <v>524</v>
      </c>
      <c r="O163">
        <v>2081</v>
      </c>
    </row>
    <row r="164" spans="13:15" x14ac:dyDescent="0.2">
      <c r="M164">
        <v>2</v>
      </c>
      <c r="N164" t="s">
        <v>525</v>
      </c>
      <c r="O164">
        <v>600</v>
      </c>
    </row>
    <row r="165" spans="13:15" x14ac:dyDescent="0.2">
      <c r="M165">
        <v>1</v>
      </c>
      <c r="N165" t="s">
        <v>526</v>
      </c>
      <c r="O165">
        <v>442</v>
      </c>
    </row>
    <row r="166" spans="13:15" x14ac:dyDescent="0.2">
      <c r="M166">
        <v>4</v>
      </c>
      <c r="N166" t="s">
        <v>527</v>
      </c>
      <c r="O166">
        <v>1858</v>
      </c>
    </row>
    <row r="167" spans="13:15" x14ac:dyDescent="0.2">
      <c r="M167">
        <v>1</v>
      </c>
      <c r="N167" t="s">
        <v>528</v>
      </c>
      <c r="O167">
        <v>218</v>
      </c>
    </row>
    <row r="168" spans="13:15" x14ac:dyDescent="0.2">
      <c r="M168">
        <v>4</v>
      </c>
      <c r="N168" t="s">
        <v>422</v>
      </c>
      <c r="O168">
        <v>1865</v>
      </c>
    </row>
    <row r="169" spans="13:15" x14ac:dyDescent="0.2">
      <c r="M169">
        <v>10</v>
      </c>
      <c r="N169" t="s">
        <v>529</v>
      </c>
      <c r="O169">
        <v>4164</v>
      </c>
    </row>
    <row r="170" spans="13:15" x14ac:dyDescent="0.2">
      <c r="M170">
        <v>8</v>
      </c>
      <c r="N170" t="s">
        <v>429</v>
      </c>
      <c r="O170">
        <v>4274</v>
      </c>
    </row>
    <row r="171" spans="13:15" x14ac:dyDescent="0.2">
      <c r="M171">
        <v>1</v>
      </c>
      <c r="N171" t="s">
        <v>530</v>
      </c>
      <c r="O171">
        <v>516</v>
      </c>
    </row>
    <row r="172" spans="13:15" x14ac:dyDescent="0.2">
      <c r="M172">
        <v>4</v>
      </c>
      <c r="N172" t="s">
        <v>531</v>
      </c>
      <c r="O172">
        <v>1723</v>
      </c>
    </row>
    <row r="173" spans="13:15" x14ac:dyDescent="0.2">
      <c r="M173">
        <v>9</v>
      </c>
      <c r="N173" t="s">
        <v>433</v>
      </c>
      <c r="O173">
        <v>3585</v>
      </c>
    </row>
    <row r="174" spans="13:15" x14ac:dyDescent="0.2">
      <c r="M174">
        <v>9</v>
      </c>
      <c r="N174" t="s">
        <v>437</v>
      </c>
      <c r="O174">
        <v>3269</v>
      </c>
    </row>
    <row r="175" spans="13:15" x14ac:dyDescent="0.2">
      <c r="M175">
        <v>15</v>
      </c>
      <c r="N175" t="s">
        <v>438</v>
      </c>
      <c r="O175">
        <v>8326</v>
      </c>
    </row>
    <row r="176" spans="13:15" x14ac:dyDescent="0.2">
      <c r="M176">
        <v>19</v>
      </c>
      <c r="N176" t="s">
        <v>440</v>
      </c>
      <c r="O176">
        <v>9116</v>
      </c>
    </row>
    <row r="177" spans="13:15" x14ac:dyDescent="0.2">
      <c r="M177">
        <v>1</v>
      </c>
      <c r="N177" t="s">
        <v>459</v>
      </c>
      <c r="O177">
        <v>204</v>
      </c>
    </row>
    <row r="178" spans="13:15" x14ac:dyDescent="0.2">
      <c r="M178">
        <v>8</v>
      </c>
      <c r="N178" t="s">
        <v>428</v>
      </c>
      <c r="O178">
        <v>2394</v>
      </c>
    </row>
    <row r="179" spans="13:15" x14ac:dyDescent="0.2">
      <c r="M179">
        <v>8</v>
      </c>
      <c r="N179" t="s">
        <v>432</v>
      </c>
      <c r="O179">
        <v>2373</v>
      </c>
    </row>
    <row r="180" spans="13:15" x14ac:dyDescent="0.2">
      <c r="M180">
        <v>7</v>
      </c>
      <c r="N180" t="s">
        <v>460</v>
      </c>
      <c r="O180">
        <v>1329</v>
      </c>
    </row>
    <row r="181" spans="13:15" x14ac:dyDescent="0.2">
      <c r="M181">
        <v>5</v>
      </c>
      <c r="N181" t="s">
        <v>441</v>
      </c>
      <c r="O181">
        <v>1339</v>
      </c>
    </row>
    <row r="182" spans="13:15" x14ac:dyDescent="0.2">
      <c r="M182">
        <v>21</v>
      </c>
      <c r="N182" t="s">
        <v>419</v>
      </c>
      <c r="O182">
        <v>12423</v>
      </c>
    </row>
    <row r="183" spans="13:15" x14ac:dyDescent="0.2">
      <c r="M183">
        <v>4</v>
      </c>
      <c r="N183" t="s">
        <v>461</v>
      </c>
      <c r="O183">
        <v>2756</v>
      </c>
    </row>
    <row r="184" spans="13:15" x14ac:dyDescent="0.2">
      <c r="M184">
        <v>11</v>
      </c>
      <c r="N184" t="s">
        <v>431</v>
      </c>
      <c r="O184">
        <v>8322</v>
      </c>
    </row>
    <row r="185" spans="13:15" x14ac:dyDescent="0.2">
      <c r="M185">
        <v>13</v>
      </c>
      <c r="N185" t="s">
        <v>462</v>
      </c>
      <c r="O185">
        <v>9096</v>
      </c>
    </row>
    <row r="186" spans="13:15" x14ac:dyDescent="0.2">
      <c r="M186">
        <v>16</v>
      </c>
      <c r="N186" t="s">
        <v>532</v>
      </c>
      <c r="O186">
        <v>3866</v>
      </c>
    </row>
    <row r="187" spans="13:15" x14ac:dyDescent="0.2">
      <c r="M187">
        <v>24</v>
      </c>
      <c r="N187" t="s">
        <v>430</v>
      </c>
      <c r="O187">
        <v>6461</v>
      </c>
    </row>
    <row r="188" spans="13:15" x14ac:dyDescent="0.2">
      <c r="M188">
        <v>4</v>
      </c>
      <c r="N188" t="s">
        <v>463</v>
      </c>
      <c r="O188">
        <v>1209</v>
      </c>
    </row>
    <row r="189" spans="13:15" x14ac:dyDescent="0.2">
      <c r="M189">
        <v>18</v>
      </c>
      <c r="N189" t="s">
        <v>436</v>
      </c>
      <c r="O189">
        <v>5627</v>
      </c>
    </row>
    <row r="190" spans="13:15" x14ac:dyDescent="0.2">
      <c r="M190">
        <v>12</v>
      </c>
      <c r="N190" t="s">
        <v>533</v>
      </c>
      <c r="O190">
        <v>3886</v>
      </c>
    </row>
    <row r="191" spans="13:15" x14ac:dyDescent="0.2">
      <c r="M191">
        <v>30</v>
      </c>
      <c r="N191" t="s">
        <v>421</v>
      </c>
      <c r="O191">
        <v>20578</v>
      </c>
    </row>
    <row r="192" spans="13:15" x14ac:dyDescent="0.2">
      <c r="M192">
        <v>14</v>
      </c>
      <c r="N192" t="s">
        <v>425</v>
      </c>
      <c r="O192">
        <v>6248</v>
      </c>
    </row>
    <row r="193" spans="13:15" x14ac:dyDescent="0.2">
      <c r="M193">
        <v>4</v>
      </c>
      <c r="N193" t="s">
        <v>426</v>
      </c>
      <c r="O193">
        <v>2084</v>
      </c>
    </row>
    <row r="194" spans="13:15" x14ac:dyDescent="0.2">
      <c r="M194">
        <v>27</v>
      </c>
      <c r="N194" t="s">
        <v>434</v>
      </c>
      <c r="O194">
        <v>14860</v>
      </c>
    </row>
    <row r="195" spans="13:15" x14ac:dyDescent="0.2">
      <c r="M195">
        <v>17</v>
      </c>
      <c r="N195" t="s">
        <v>435</v>
      </c>
      <c r="O195">
        <v>6618</v>
      </c>
    </row>
    <row r="196" spans="13:15" x14ac:dyDescent="0.2">
      <c r="M196">
        <v>2</v>
      </c>
      <c r="N196" t="s">
        <v>439</v>
      </c>
      <c r="O196">
        <v>1289</v>
      </c>
    </row>
    <row r="197" spans="13:15" x14ac:dyDescent="0.2">
      <c r="M197">
        <v>4</v>
      </c>
      <c r="N197" t="s">
        <v>442</v>
      </c>
      <c r="O197">
        <v>1900</v>
      </c>
    </row>
    <row r="198" spans="13:15" x14ac:dyDescent="0.2">
      <c r="M198">
        <v>10</v>
      </c>
      <c r="N198" t="s">
        <v>424</v>
      </c>
      <c r="O198">
        <v>9085</v>
      </c>
    </row>
    <row r="199" spans="13:15" x14ac:dyDescent="0.2">
      <c r="M199">
        <v>7</v>
      </c>
      <c r="N199" t="s">
        <v>534</v>
      </c>
      <c r="O199">
        <v>4100</v>
      </c>
    </row>
    <row r="200" spans="13:15" x14ac:dyDescent="0.2">
      <c r="M200">
        <v>23</v>
      </c>
      <c r="N200" t="s">
        <v>465</v>
      </c>
      <c r="O200">
        <v>15267</v>
      </c>
    </row>
    <row r="201" spans="13:15" x14ac:dyDescent="0.2">
      <c r="M201">
        <v>32</v>
      </c>
      <c r="N201" t="s">
        <v>427</v>
      </c>
      <c r="O201">
        <v>23759</v>
      </c>
    </row>
    <row r="202" spans="13:15" x14ac:dyDescent="0.2">
      <c r="M202">
        <v>19</v>
      </c>
      <c r="N202" t="s">
        <v>466</v>
      </c>
      <c r="O202">
        <v>13832</v>
      </c>
    </row>
    <row r="203" spans="13:15" x14ac:dyDescent="0.2">
      <c r="M203">
        <v>5</v>
      </c>
      <c r="N203" t="s">
        <v>445</v>
      </c>
      <c r="O203">
        <v>2908</v>
      </c>
    </row>
    <row r="204" spans="13:15" x14ac:dyDescent="0.2">
      <c r="M204">
        <v>17</v>
      </c>
      <c r="N204" t="s">
        <v>469</v>
      </c>
      <c r="O204">
        <v>3986</v>
      </c>
    </row>
    <row r="205" spans="13:15" x14ac:dyDescent="0.2">
      <c r="M205">
        <v>16</v>
      </c>
      <c r="N205" t="s">
        <v>470</v>
      </c>
      <c r="O205">
        <v>7254</v>
      </c>
    </row>
    <row r="206" spans="13:15" x14ac:dyDescent="0.2">
      <c r="M206">
        <v>5</v>
      </c>
      <c r="N206" t="s">
        <v>443</v>
      </c>
      <c r="O206">
        <v>949</v>
      </c>
    </row>
    <row r="207" spans="13:15" x14ac:dyDescent="0.2">
      <c r="M207">
        <v>3</v>
      </c>
      <c r="N207" t="s">
        <v>444</v>
      </c>
      <c r="O207">
        <v>1367</v>
      </c>
    </row>
    <row r="208" spans="13:15" x14ac:dyDescent="0.2">
      <c r="M208">
        <v>1</v>
      </c>
      <c r="N208" t="s">
        <v>535</v>
      </c>
      <c r="O208">
        <v>235</v>
      </c>
    </row>
    <row r="209" spans="13:15" x14ac:dyDescent="0.2">
      <c r="M209">
        <v>1</v>
      </c>
      <c r="N209" t="s">
        <v>473</v>
      </c>
      <c r="O209">
        <v>468</v>
      </c>
    </row>
    <row r="210" spans="13:15" x14ac:dyDescent="0.2">
      <c r="M210">
        <v>1</v>
      </c>
      <c r="N210" t="s">
        <v>536</v>
      </c>
      <c r="O210">
        <v>222</v>
      </c>
    </row>
    <row r="211" spans="13:15" x14ac:dyDescent="0.2">
      <c r="M211">
        <v>12</v>
      </c>
      <c r="N211" t="s">
        <v>477</v>
      </c>
      <c r="O211">
        <v>3603</v>
      </c>
    </row>
    <row r="212" spans="13:15" x14ac:dyDescent="0.2">
      <c r="M212">
        <v>1</v>
      </c>
      <c r="N212" t="s">
        <v>537</v>
      </c>
      <c r="O212">
        <v>312</v>
      </c>
    </row>
    <row r="213" spans="13:15" x14ac:dyDescent="0.2">
      <c r="M213">
        <v>6</v>
      </c>
      <c r="N213" t="s">
        <v>479</v>
      </c>
      <c r="O213">
        <v>1721</v>
      </c>
    </row>
    <row r="214" spans="13:15" x14ac:dyDescent="0.2">
      <c r="M214">
        <v>6</v>
      </c>
      <c r="N214" t="s">
        <v>480</v>
      </c>
      <c r="O214">
        <v>4770</v>
      </c>
    </row>
    <row r="215" spans="13:15" x14ac:dyDescent="0.2">
      <c r="M215">
        <v>2</v>
      </c>
      <c r="N215" t="s">
        <v>482</v>
      </c>
      <c r="O215">
        <v>579</v>
      </c>
    </row>
    <row r="216" spans="13:15" x14ac:dyDescent="0.2">
      <c r="M216">
        <v>1</v>
      </c>
      <c r="N216" t="s">
        <v>538</v>
      </c>
      <c r="O216">
        <v>300</v>
      </c>
    </row>
    <row r="217" spans="13:15" x14ac:dyDescent="0.2">
      <c r="M217">
        <v>1</v>
      </c>
      <c r="N217" t="s">
        <v>539</v>
      </c>
      <c r="O217">
        <v>113</v>
      </c>
    </row>
    <row r="218" spans="13:15" x14ac:dyDescent="0.2">
      <c r="M218">
        <v>9</v>
      </c>
      <c r="N218" t="s">
        <v>450</v>
      </c>
      <c r="O218">
        <v>1418</v>
      </c>
    </row>
    <row r="219" spans="13:15" x14ac:dyDescent="0.2">
      <c r="M219">
        <v>6</v>
      </c>
      <c r="N219" t="s">
        <v>402</v>
      </c>
      <c r="O219">
        <v>2725</v>
      </c>
    </row>
    <row r="220" spans="13:15" x14ac:dyDescent="0.2">
      <c r="M220">
        <v>1</v>
      </c>
      <c r="N220" t="s">
        <v>540</v>
      </c>
      <c r="O220">
        <v>53</v>
      </c>
    </row>
    <row r="221" spans="13:15" x14ac:dyDescent="0.2">
      <c r="M221">
        <v>4</v>
      </c>
      <c r="N221" t="s">
        <v>447</v>
      </c>
      <c r="O221">
        <v>542</v>
      </c>
    </row>
    <row r="222" spans="13:15" x14ac:dyDescent="0.2">
      <c r="M222">
        <v>13</v>
      </c>
      <c r="N222" t="s">
        <v>489</v>
      </c>
      <c r="O222">
        <v>5035</v>
      </c>
    </row>
    <row r="223" spans="13:15" x14ac:dyDescent="0.2">
      <c r="M223">
        <v>1</v>
      </c>
      <c r="N223" t="s">
        <v>541</v>
      </c>
      <c r="O223">
        <v>98</v>
      </c>
    </row>
    <row r="224" spans="13:15" x14ac:dyDescent="0.2">
      <c r="M224">
        <v>7</v>
      </c>
      <c r="N224" t="s">
        <v>452</v>
      </c>
      <c r="O224">
        <v>1111</v>
      </c>
    </row>
    <row r="225" spans="13:15" x14ac:dyDescent="0.2">
      <c r="M225">
        <v>4</v>
      </c>
      <c r="N225" t="s">
        <v>542</v>
      </c>
      <c r="O225">
        <v>910</v>
      </c>
    </row>
    <row r="226" spans="13:15" x14ac:dyDescent="0.2">
      <c r="M226">
        <v>1</v>
      </c>
      <c r="N226" t="s">
        <v>543</v>
      </c>
      <c r="O226">
        <v>202</v>
      </c>
    </row>
    <row r="227" spans="13:15" x14ac:dyDescent="0.2">
      <c r="M227">
        <v>10</v>
      </c>
      <c r="N227" t="s">
        <v>544</v>
      </c>
      <c r="O227">
        <v>3417</v>
      </c>
    </row>
    <row r="228" spans="13:15" x14ac:dyDescent="0.2">
      <c r="M228">
        <v>2</v>
      </c>
      <c r="N228" t="s">
        <v>545</v>
      </c>
      <c r="O228">
        <v>690</v>
      </c>
    </row>
    <row r="229" spans="13:15" x14ac:dyDescent="0.2">
      <c r="M229">
        <v>3</v>
      </c>
      <c r="N229" t="s">
        <v>546</v>
      </c>
      <c r="O229">
        <v>435</v>
      </c>
    </row>
    <row r="230" spans="13:15" x14ac:dyDescent="0.2">
      <c r="M230">
        <v>1</v>
      </c>
      <c r="N230" t="s">
        <v>547</v>
      </c>
      <c r="O230">
        <v>255</v>
      </c>
    </row>
    <row r="231" spans="13:15" x14ac:dyDescent="0.2">
      <c r="M231">
        <v>1</v>
      </c>
      <c r="N231" t="s">
        <v>548</v>
      </c>
      <c r="O231">
        <v>136</v>
      </c>
    </row>
    <row r="232" spans="13:15" x14ac:dyDescent="0.2">
      <c r="M232">
        <v>1</v>
      </c>
      <c r="N232" t="s">
        <v>549</v>
      </c>
      <c r="O232">
        <v>222</v>
      </c>
    </row>
    <row r="233" spans="13:15" x14ac:dyDescent="0.2">
      <c r="M233">
        <v>12</v>
      </c>
      <c r="N233" t="s">
        <v>449</v>
      </c>
      <c r="O233">
        <v>4619</v>
      </c>
    </row>
    <row r="234" spans="13:15" x14ac:dyDescent="0.2">
      <c r="M234">
        <v>1</v>
      </c>
      <c r="N234" t="s">
        <v>550</v>
      </c>
      <c r="O234">
        <v>192</v>
      </c>
    </row>
    <row r="235" spans="13:15" x14ac:dyDescent="0.2">
      <c r="M235">
        <v>9</v>
      </c>
      <c r="N235" t="s">
        <v>454</v>
      </c>
      <c r="O235">
        <v>3258</v>
      </c>
    </row>
    <row r="236" spans="13:15" x14ac:dyDescent="0.2">
      <c r="M236">
        <v>4</v>
      </c>
      <c r="N236" t="s">
        <v>453</v>
      </c>
      <c r="O236">
        <v>775</v>
      </c>
    </row>
    <row r="237" spans="13:15" x14ac:dyDescent="0.2">
      <c r="M237">
        <v>3</v>
      </c>
      <c r="N237" t="s">
        <v>551</v>
      </c>
      <c r="O237">
        <v>569</v>
      </c>
    </row>
    <row r="238" spans="13:15" x14ac:dyDescent="0.2">
      <c r="M238">
        <v>1</v>
      </c>
      <c r="N238" t="s">
        <v>552</v>
      </c>
      <c r="O238">
        <v>282</v>
      </c>
    </row>
    <row r="239" spans="13:15" x14ac:dyDescent="0.2">
      <c r="M239">
        <v>2</v>
      </c>
      <c r="N239" t="s">
        <v>504</v>
      </c>
      <c r="O239">
        <v>600</v>
      </c>
    </row>
    <row r="240" spans="13:15" x14ac:dyDescent="0.2">
      <c r="M240">
        <v>1</v>
      </c>
      <c r="N240" t="s">
        <v>553</v>
      </c>
      <c r="O240">
        <v>190</v>
      </c>
    </row>
    <row r="241" spans="13:15" x14ac:dyDescent="0.2">
      <c r="M241">
        <v>2</v>
      </c>
      <c r="N241" t="s">
        <v>554</v>
      </c>
      <c r="O241">
        <v>459</v>
      </c>
    </row>
    <row r="242" spans="13:15" x14ac:dyDescent="0.2">
      <c r="M242">
        <v>12</v>
      </c>
      <c r="N242" t="s">
        <v>448</v>
      </c>
      <c r="O242">
        <v>4708</v>
      </c>
    </row>
    <row r="243" spans="13:15" x14ac:dyDescent="0.2">
      <c r="M243">
        <v>6</v>
      </c>
      <c r="N243" t="s">
        <v>451</v>
      </c>
      <c r="O243">
        <v>1766</v>
      </c>
    </row>
    <row r="244" spans="13:15" x14ac:dyDescent="0.2">
      <c r="M244">
        <v>2</v>
      </c>
      <c r="N244" t="s">
        <v>555</v>
      </c>
      <c r="O244">
        <v>539</v>
      </c>
    </row>
    <row r="245" spans="13:15" x14ac:dyDescent="0.2">
      <c r="M245">
        <v>6</v>
      </c>
      <c r="N245" t="s">
        <v>455</v>
      </c>
      <c r="O245">
        <v>1816</v>
      </c>
    </row>
    <row r="246" spans="13:15" x14ac:dyDescent="0.2">
      <c r="M246">
        <f>SUM(M147:M245)</f>
        <v>772</v>
      </c>
      <c r="O246">
        <f>SUM(O147:O245)</f>
        <v>347304</v>
      </c>
    </row>
    <row r="249" spans="13:15" x14ac:dyDescent="0.2">
      <c r="N249">
        <v>2009</v>
      </c>
    </row>
    <row r="250" spans="13:15" x14ac:dyDescent="0.2">
      <c r="M250">
        <v>17</v>
      </c>
      <c r="N250" t="s">
        <v>556</v>
      </c>
      <c r="O250">
        <v>11294</v>
      </c>
    </row>
    <row r="251" spans="13:15" x14ac:dyDescent="0.2">
      <c r="M251">
        <v>49</v>
      </c>
      <c r="N251" t="s">
        <v>409</v>
      </c>
      <c r="O251">
        <v>26279</v>
      </c>
    </row>
    <row r="252" spans="13:15" x14ac:dyDescent="0.2">
      <c r="M252">
        <v>23</v>
      </c>
      <c r="N252" t="s">
        <v>410</v>
      </c>
      <c r="O252">
        <v>6809</v>
      </c>
    </row>
    <row r="253" spans="13:15" x14ac:dyDescent="0.2">
      <c r="M253">
        <v>12</v>
      </c>
      <c r="N253" t="s">
        <v>411</v>
      </c>
      <c r="O253">
        <v>3825</v>
      </c>
    </row>
    <row r="254" spans="13:15" x14ac:dyDescent="0.2">
      <c r="M254">
        <v>15</v>
      </c>
      <c r="N254" t="s">
        <v>412</v>
      </c>
      <c r="O254">
        <v>7935</v>
      </c>
    </row>
    <row r="255" spans="13:15" x14ac:dyDescent="0.2">
      <c r="M255">
        <v>75</v>
      </c>
      <c r="N255" t="s">
        <v>405</v>
      </c>
      <c r="O255">
        <v>35037</v>
      </c>
    </row>
    <row r="256" spans="13:15" x14ac:dyDescent="0.2">
      <c r="M256">
        <v>28</v>
      </c>
      <c r="N256" t="s">
        <v>407</v>
      </c>
      <c r="O256">
        <v>10486</v>
      </c>
    </row>
    <row r="257" spans="13:15" x14ac:dyDescent="0.2">
      <c r="M257">
        <v>7</v>
      </c>
      <c r="N257" t="s">
        <v>557</v>
      </c>
      <c r="O257">
        <v>2087</v>
      </c>
    </row>
    <row r="258" spans="13:15" x14ac:dyDescent="0.2">
      <c r="M258">
        <v>3</v>
      </c>
      <c r="N258" t="s">
        <v>558</v>
      </c>
      <c r="O258">
        <v>1182</v>
      </c>
    </row>
    <row r="259" spans="13:15" x14ac:dyDescent="0.2">
      <c r="M259">
        <v>41</v>
      </c>
      <c r="N259" t="s">
        <v>559</v>
      </c>
      <c r="O259">
        <v>8151</v>
      </c>
    </row>
    <row r="260" spans="13:15" x14ac:dyDescent="0.2">
      <c r="M260">
        <v>21</v>
      </c>
      <c r="N260" t="s">
        <v>560</v>
      </c>
      <c r="O260">
        <v>11778</v>
      </c>
    </row>
    <row r="261" spans="13:15" x14ac:dyDescent="0.2">
      <c r="M261">
        <v>4</v>
      </c>
      <c r="N261" t="s">
        <v>561</v>
      </c>
      <c r="O261">
        <v>770</v>
      </c>
    </row>
    <row r="262" spans="13:15" x14ac:dyDescent="0.2">
      <c r="M262">
        <v>8</v>
      </c>
      <c r="N262" t="s">
        <v>562</v>
      </c>
      <c r="O262">
        <v>2149</v>
      </c>
    </row>
    <row r="263" spans="13:15" x14ac:dyDescent="0.2">
      <c r="M263">
        <v>4</v>
      </c>
      <c r="N263" t="s">
        <v>406</v>
      </c>
      <c r="O263">
        <v>1386</v>
      </c>
    </row>
    <row r="264" spans="13:15" x14ac:dyDescent="0.2">
      <c r="M264">
        <v>8</v>
      </c>
      <c r="N264" t="s">
        <v>408</v>
      </c>
      <c r="O264">
        <v>3765</v>
      </c>
    </row>
    <row r="265" spans="13:15" x14ac:dyDescent="0.2">
      <c r="M265">
        <v>7</v>
      </c>
      <c r="N265" t="s">
        <v>413</v>
      </c>
      <c r="O265">
        <v>1618</v>
      </c>
    </row>
    <row r="266" spans="13:15" x14ac:dyDescent="0.2">
      <c r="M266">
        <v>20</v>
      </c>
      <c r="N266" t="s">
        <v>415</v>
      </c>
      <c r="O266">
        <v>4742</v>
      </c>
    </row>
    <row r="267" spans="13:15" x14ac:dyDescent="0.2">
      <c r="M267">
        <v>9</v>
      </c>
      <c r="N267" t="s">
        <v>404</v>
      </c>
      <c r="O267">
        <v>1385</v>
      </c>
    </row>
    <row r="268" spans="13:15" x14ac:dyDescent="0.2">
      <c r="M268">
        <v>1</v>
      </c>
      <c r="N268" t="s">
        <v>563</v>
      </c>
      <c r="O268">
        <v>150</v>
      </c>
    </row>
    <row r="269" spans="13:15" x14ac:dyDescent="0.2">
      <c r="M269">
        <v>1</v>
      </c>
      <c r="N269" t="s">
        <v>564</v>
      </c>
      <c r="O269">
        <v>183</v>
      </c>
    </row>
    <row r="270" spans="13:15" x14ac:dyDescent="0.2">
      <c r="M270">
        <v>6</v>
      </c>
      <c r="N270" t="s">
        <v>565</v>
      </c>
      <c r="O270">
        <v>1441</v>
      </c>
    </row>
    <row r="271" spans="13:15" x14ac:dyDescent="0.2">
      <c r="M271">
        <v>12</v>
      </c>
      <c r="N271" t="s">
        <v>566</v>
      </c>
      <c r="O271">
        <v>5532</v>
      </c>
    </row>
    <row r="272" spans="13:15" x14ac:dyDescent="0.2">
      <c r="M272">
        <v>14</v>
      </c>
      <c r="N272" t="s">
        <v>414</v>
      </c>
      <c r="O272">
        <v>6271</v>
      </c>
    </row>
    <row r="273" spans="13:15" x14ac:dyDescent="0.2">
      <c r="M273">
        <v>17</v>
      </c>
      <c r="N273" t="s">
        <v>567</v>
      </c>
      <c r="O273">
        <v>5675</v>
      </c>
    </row>
    <row r="274" spans="13:15" x14ac:dyDescent="0.2">
      <c r="M274">
        <v>13</v>
      </c>
      <c r="N274" t="s">
        <v>568</v>
      </c>
      <c r="O274">
        <v>3018</v>
      </c>
    </row>
    <row r="275" spans="13:15" x14ac:dyDescent="0.2">
      <c r="M275">
        <v>1</v>
      </c>
      <c r="N275" t="s">
        <v>569</v>
      </c>
      <c r="O275">
        <v>299</v>
      </c>
    </row>
    <row r="276" spans="13:15" x14ac:dyDescent="0.2">
      <c r="M276">
        <v>3</v>
      </c>
      <c r="N276" t="s">
        <v>570</v>
      </c>
      <c r="O276">
        <v>1792</v>
      </c>
    </row>
    <row r="277" spans="13:15" x14ac:dyDescent="0.2">
      <c r="M277">
        <v>1</v>
      </c>
      <c r="N277" t="s">
        <v>571</v>
      </c>
      <c r="O277">
        <v>89</v>
      </c>
    </row>
    <row r="278" spans="13:15" x14ac:dyDescent="0.2">
      <c r="M278">
        <v>8</v>
      </c>
      <c r="N278" t="s">
        <v>477</v>
      </c>
      <c r="O278">
        <v>2538</v>
      </c>
    </row>
    <row r="279" spans="13:15" x14ac:dyDescent="0.2">
      <c r="M279">
        <v>4</v>
      </c>
      <c r="N279" t="s">
        <v>572</v>
      </c>
      <c r="O279">
        <v>363</v>
      </c>
    </row>
    <row r="280" spans="13:15" x14ac:dyDescent="0.2">
      <c r="M280">
        <v>12</v>
      </c>
      <c r="N280" t="s">
        <v>573</v>
      </c>
      <c r="O280">
        <v>1153</v>
      </c>
    </row>
    <row r="281" spans="13:15" x14ac:dyDescent="0.2">
      <c r="M281">
        <v>10</v>
      </c>
      <c r="N281" t="s">
        <v>418</v>
      </c>
      <c r="O281">
        <v>1906</v>
      </c>
    </row>
    <row r="282" spans="13:15" x14ac:dyDescent="0.2">
      <c r="M282">
        <f>SUM(M250:M281)</f>
        <v>454</v>
      </c>
      <c r="O282">
        <f>SUM(O250:O281)</f>
        <v>171088</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423FF-890F-EB42-9657-53D4199D038E}">
  <dimension ref="A1:C57"/>
  <sheetViews>
    <sheetView topLeftCell="A43" workbookViewId="0">
      <selection activeCell="E86" sqref="E86"/>
    </sheetView>
  </sheetViews>
  <sheetFormatPr baseColWidth="10" defaultRowHeight="16" x14ac:dyDescent="0.2"/>
  <sheetData>
    <row r="1" spans="1:3" x14ac:dyDescent="0.2">
      <c r="A1" s="2" t="s">
        <v>274</v>
      </c>
      <c r="B1" s="2" t="s">
        <v>400</v>
      </c>
      <c r="C1" s="2" t="s">
        <v>574</v>
      </c>
    </row>
    <row r="2" spans="1:3" x14ac:dyDescent="0.2">
      <c r="A2" s="2">
        <v>2003</v>
      </c>
      <c r="B2" s="4">
        <v>370420.49</v>
      </c>
      <c r="C2" s="2" t="s">
        <v>575</v>
      </c>
    </row>
    <row r="3" spans="1:3" x14ac:dyDescent="0.2">
      <c r="A3" s="2">
        <v>2004</v>
      </c>
      <c r="B3" s="4">
        <v>718099.89</v>
      </c>
      <c r="C3" s="2" t="s">
        <v>575</v>
      </c>
    </row>
    <row r="4" spans="1:3" x14ac:dyDescent="0.2">
      <c r="A4" s="2">
        <v>2005</v>
      </c>
      <c r="B4" s="4">
        <v>672246.55</v>
      </c>
      <c r="C4" s="2" t="s">
        <v>575</v>
      </c>
    </row>
    <row r="5" spans="1:3" x14ac:dyDescent="0.2">
      <c r="A5" s="2">
        <v>2006</v>
      </c>
      <c r="B5" s="4">
        <v>726455</v>
      </c>
      <c r="C5" s="2" t="s">
        <v>575</v>
      </c>
    </row>
    <row r="6" spans="1:3" x14ac:dyDescent="0.2">
      <c r="A6" s="2">
        <v>2007</v>
      </c>
      <c r="B6" s="4">
        <v>611274</v>
      </c>
      <c r="C6" s="2" t="s">
        <v>575</v>
      </c>
    </row>
    <row r="7" spans="1:3" x14ac:dyDescent="0.2">
      <c r="A7" s="2">
        <v>2008</v>
      </c>
      <c r="B7" s="4">
        <v>985722</v>
      </c>
      <c r="C7" s="2" t="s">
        <v>575</v>
      </c>
    </row>
    <row r="8" spans="1:3" x14ac:dyDescent="0.2">
      <c r="A8" s="2">
        <v>2009</v>
      </c>
      <c r="B8" s="4">
        <v>1983947</v>
      </c>
      <c r="C8" s="2" t="s">
        <v>575</v>
      </c>
    </row>
    <row r="9" spans="1:3" x14ac:dyDescent="0.2">
      <c r="A9" s="2">
        <v>2010</v>
      </c>
      <c r="B9" s="4">
        <v>1264677</v>
      </c>
      <c r="C9" s="2" t="s">
        <v>575</v>
      </c>
    </row>
    <row r="10" spans="1:3" x14ac:dyDescent="0.2">
      <c r="A10" s="2">
        <v>2011</v>
      </c>
      <c r="B10" s="4">
        <v>648980</v>
      </c>
      <c r="C10" s="2" t="s">
        <v>575</v>
      </c>
    </row>
    <row r="11" spans="1:3" x14ac:dyDescent="0.2">
      <c r="A11" s="2">
        <v>2012</v>
      </c>
      <c r="B11" s="4">
        <v>646843</v>
      </c>
      <c r="C11" s="2" t="s">
        <v>575</v>
      </c>
    </row>
    <row r="12" spans="1:3" x14ac:dyDescent="0.2">
      <c r="A12" s="2">
        <v>2013</v>
      </c>
      <c r="B12" s="4">
        <v>605208</v>
      </c>
      <c r="C12" s="2" t="s">
        <v>575</v>
      </c>
    </row>
    <row r="13" spans="1:3" x14ac:dyDescent="0.2">
      <c r="A13" s="2">
        <v>2014</v>
      </c>
      <c r="B13" s="4">
        <v>480602</v>
      </c>
      <c r="C13" s="2" t="s">
        <v>575</v>
      </c>
    </row>
    <row r="14" spans="1:3" x14ac:dyDescent="0.2">
      <c r="A14" s="2">
        <v>2015</v>
      </c>
      <c r="B14" s="4">
        <v>376424</v>
      </c>
      <c r="C14" s="2" t="s">
        <v>575</v>
      </c>
    </row>
    <row r="15" spans="1:3" x14ac:dyDescent="0.2">
      <c r="A15" s="2">
        <v>2016</v>
      </c>
      <c r="B15" s="4">
        <v>416533</v>
      </c>
      <c r="C15" s="2" t="s">
        <v>575</v>
      </c>
    </row>
    <row r="16" spans="1:3" x14ac:dyDescent="0.2">
      <c r="A16" s="2">
        <v>2003</v>
      </c>
      <c r="B16" s="4">
        <v>97727.01</v>
      </c>
      <c r="C16" s="2" t="s">
        <v>576</v>
      </c>
    </row>
    <row r="17" spans="1:3" x14ac:dyDescent="0.2">
      <c r="A17" s="2">
        <v>2004</v>
      </c>
      <c r="B17" s="4">
        <v>104150.59</v>
      </c>
      <c r="C17" s="2" t="s">
        <v>576</v>
      </c>
    </row>
    <row r="18" spans="1:3" x14ac:dyDescent="0.2">
      <c r="A18" s="2">
        <v>2005</v>
      </c>
      <c r="B18" s="4">
        <v>78467.92</v>
      </c>
      <c r="C18" s="2" t="s">
        <v>576</v>
      </c>
    </row>
    <row r="19" spans="1:3" x14ac:dyDescent="0.2">
      <c r="A19" s="2">
        <v>2006</v>
      </c>
      <c r="B19" s="4">
        <v>107380</v>
      </c>
      <c r="C19" s="2" t="s">
        <v>576</v>
      </c>
    </row>
    <row r="20" spans="1:3" x14ac:dyDescent="0.2">
      <c r="A20" s="2">
        <v>2007</v>
      </c>
      <c r="B20" s="4">
        <v>80113</v>
      </c>
      <c r="C20" s="2" t="s">
        <v>576</v>
      </c>
    </row>
    <row r="21" spans="1:3" x14ac:dyDescent="0.2">
      <c r="A21" s="2">
        <v>2008</v>
      </c>
      <c r="B21" s="4">
        <v>122653</v>
      </c>
      <c r="C21" s="2" t="s">
        <v>576</v>
      </c>
    </row>
    <row r="22" spans="1:3" x14ac:dyDescent="0.2">
      <c r="A22" s="2">
        <v>2009</v>
      </c>
      <c r="B22" s="4">
        <v>215104</v>
      </c>
      <c r="C22" s="2" t="s">
        <v>576</v>
      </c>
    </row>
    <row r="23" spans="1:3" x14ac:dyDescent="0.2">
      <c r="A23" s="2">
        <v>2010</v>
      </c>
      <c r="B23" s="4">
        <v>104711</v>
      </c>
      <c r="C23" s="2" t="s">
        <v>576</v>
      </c>
    </row>
    <row r="24" spans="1:3" x14ac:dyDescent="0.2">
      <c r="A24" s="2">
        <v>2011</v>
      </c>
      <c r="B24" s="4">
        <v>74395</v>
      </c>
      <c r="C24" s="2" t="s">
        <v>576</v>
      </c>
    </row>
    <row r="25" spans="1:3" x14ac:dyDescent="0.2">
      <c r="A25" s="2">
        <v>2012</v>
      </c>
      <c r="B25" s="4">
        <v>62634</v>
      </c>
      <c r="C25" s="2" t="s">
        <v>576</v>
      </c>
    </row>
    <row r="26" spans="1:3" x14ac:dyDescent="0.2">
      <c r="A26" s="2">
        <v>2013</v>
      </c>
      <c r="B26" s="4">
        <v>118398</v>
      </c>
      <c r="C26" s="2" t="s">
        <v>576</v>
      </c>
    </row>
    <row r="27" spans="1:3" x14ac:dyDescent="0.2">
      <c r="A27" s="2">
        <v>2014</v>
      </c>
      <c r="B27" s="4">
        <v>80315</v>
      </c>
      <c r="C27" s="2" t="s">
        <v>576</v>
      </c>
    </row>
    <row r="28" spans="1:3" x14ac:dyDescent="0.2">
      <c r="A28" s="2">
        <v>2015</v>
      </c>
      <c r="B28" s="4">
        <v>61922</v>
      </c>
      <c r="C28" s="2" t="s">
        <v>576</v>
      </c>
    </row>
    <row r="29" spans="1:3" x14ac:dyDescent="0.2">
      <c r="A29" s="2">
        <v>2016</v>
      </c>
      <c r="B29" s="4">
        <v>62932</v>
      </c>
      <c r="C29" s="2" t="s">
        <v>576</v>
      </c>
    </row>
    <row r="30" spans="1:3" x14ac:dyDescent="0.2">
      <c r="A30" s="2">
        <v>2003</v>
      </c>
      <c r="B30" s="4">
        <v>342802.51</v>
      </c>
      <c r="C30" s="2" t="s">
        <v>577</v>
      </c>
    </row>
    <row r="31" spans="1:3" x14ac:dyDescent="0.2">
      <c r="A31" s="2">
        <v>2004</v>
      </c>
      <c r="B31" s="4">
        <v>738333.36</v>
      </c>
      <c r="C31" s="2" t="s">
        <v>577</v>
      </c>
    </row>
    <row r="32" spans="1:3" x14ac:dyDescent="0.2">
      <c r="A32" s="2">
        <v>2005</v>
      </c>
      <c r="B32" s="4">
        <v>766958.34</v>
      </c>
      <c r="C32" s="2" t="s">
        <v>577</v>
      </c>
    </row>
    <row r="33" spans="1:3" x14ac:dyDescent="0.2">
      <c r="A33" s="2">
        <v>2006</v>
      </c>
      <c r="B33" s="4">
        <v>707598</v>
      </c>
      <c r="C33" s="2" t="s">
        <v>577</v>
      </c>
    </row>
    <row r="34" spans="1:3" x14ac:dyDescent="0.2">
      <c r="A34" s="2">
        <v>2007</v>
      </c>
      <c r="B34" s="4">
        <v>661856</v>
      </c>
      <c r="C34" s="2" t="s">
        <v>577</v>
      </c>
    </row>
    <row r="35" spans="1:3" x14ac:dyDescent="0.2">
      <c r="A35" s="2">
        <v>2008</v>
      </c>
      <c r="B35" s="4">
        <v>1068364</v>
      </c>
      <c r="C35" s="2" t="s">
        <v>577</v>
      </c>
    </row>
    <row r="36" spans="1:3" x14ac:dyDescent="0.2">
      <c r="A36" s="2">
        <v>2009</v>
      </c>
      <c r="B36" s="4">
        <v>2041149</v>
      </c>
      <c r="C36" s="2" t="s">
        <v>577</v>
      </c>
    </row>
    <row r="37" spans="1:3" x14ac:dyDescent="0.2">
      <c r="A37" s="2">
        <v>2010</v>
      </c>
      <c r="B37" s="4">
        <v>1666639</v>
      </c>
      <c r="C37" s="2" t="s">
        <v>577</v>
      </c>
    </row>
    <row r="38" spans="1:3" x14ac:dyDescent="0.2">
      <c r="A38" s="2">
        <v>2011</v>
      </c>
      <c r="B38" s="4">
        <v>434507</v>
      </c>
      <c r="C38" s="2" t="s">
        <v>577</v>
      </c>
    </row>
    <row r="39" spans="1:3" x14ac:dyDescent="0.2">
      <c r="A39" s="2">
        <v>2012</v>
      </c>
      <c r="B39" s="4">
        <v>462450</v>
      </c>
      <c r="C39" s="2" t="s">
        <v>577</v>
      </c>
    </row>
    <row r="40" spans="1:3" x14ac:dyDescent="0.2">
      <c r="A40" s="2">
        <v>2013</v>
      </c>
      <c r="B40" s="4">
        <v>444935</v>
      </c>
      <c r="C40" s="2" t="s">
        <v>577</v>
      </c>
    </row>
    <row r="41" spans="1:3" x14ac:dyDescent="0.2">
      <c r="A41" s="2">
        <v>2014</v>
      </c>
      <c r="B41" s="4">
        <v>455403</v>
      </c>
      <c r="C41" s="2" t="s">
        <v>577</v>
      </c>
    </row>
    <row r="42" spans="1:3" x14ac:dyDescent="0.2">
      <c r="A42" s="2">
        <v>2015</v>
      </c>
      <c r="B42" s="4">
        <v>344287</v>
      </c>
      <c r="C42" s="2" t="s">
        <v>577</v>
      </c>
    </row>
    <row r="43" spans="1:3" x14ac:dyDescent="0.2">
      <c r="A43" s="2">
        <v>2016</v>
      </c>
      <c r="B43" s="4">
        <v>383300</v>
      </c>
      <c r="C43" s="2" t="s">
        <v>577</v>
      </c>
    </row>
    <row r="44" spans="1:3" x14ac:dyDescent="0.2">
      <c r="A44" s="2">
        <v>2003</v>
      </c>
      <c r="B44" s="4">
        <v>38294.6</v>
      </c>
      <c r="C44" s="2" t="s">
        <v>578</v>
      </c>
    </row>
    <row r="45" spans="1:3" x14ac:dyDescent="0.2">
      <c r="A45" s="2">
        <v>2004</v>
      </c>
      <c r="B45" s="4">
        <v>61951.65</v>
      </c>
      <c r="C45" s="2" t="s">
        <v>578</v>
      </c>
    </row>
    <row r="46" spans="1:3" x14ac:dyDescent="0.2">
      <c r="A46" s="2">
        <v>2005</v>
      </c>
      <c r="B46" s="4">
        <v>130980.77</v>
      </c>
      <c r="C46" s="2" t="s">
        <v>578</v>
      </c>
    </row>
    <row r="47" spans="1:3" x14ac:dyDescent="0.2">
      <c r="A47" s="2">
        <v>2006</v>
      </c>
      <c r="B47" s="4">
        <v>142389</v>
      </c>
      <c r="C47" s="2" t="s">
        <v>578</v>
      </c>
    </row>
    <row r="48" spans="1:3" x14ac:dyDescent="0.2">
      <c r="A48" s="2">
        <v>2007</v>
      </c>
      <c r="B48" s="4">
        <v>165704</v>
      </c>
      <c r="C48" s="2" t="s">
        <v>578</v>
      </c>
    </row>
    <row r="49" spans="1:3" x14ac:dyDescent="0.2">
      <c r="A49" s="2">
        <v>2008</v>
      </c>
      <c r="B49" s="4">
        <v>288680</v>
      </c>
      <c r="C49" s="2" t="s">
        <v>578</v>
      </c>
    </row>
    <row r="50" spans="1:3" x14ac:dyDescent="0.2">
      <c r="A50" s="2">
        <v>2009</v>
      </c>
      <c r="B50" s="4">
        <v>576542</v>
      </c>
      <c r="C50" s="2" t="s">
        <v>578</v>
      </c>
    </row>
    <row r="51" spans="1:3" x14ac:dyDescent="0.2">
      <c r="A51" s="2">
        <v>2010</v>
      </c>
      <c r="B51" s="4">
        <v>859960</v>
      </c>
      <c r="C51" s="2" t="s">
        <v>578</v>
      </c>
    </row>
    <row r="52" spans="1:3" x14ac:dyDescent="0.2">
      <c r="A52" s="2">
        <v>2011</v>
      </c>
      <c r="B52" s="4">
        <v>615171</v>
      </c>
      <c r="C52" s="2" t="s">
        <v>578</v>
      </c>
    </row>
    <row r="53" spans="1:3" x14ac:dyDescent="0.2">
      <c r="A53" s="2">
        <v>2012</v>
      </c>
      <c r="B53" s="4">
        <v>419017</v>
      </c>
      <c r="C53" s="2" t="s">
        <v>578</v>
      </c>
    </row>
    <row r="54" spans="1:3" x14ac:dyDescent="0.2">
      <c r="A54" s="2">
        <v>2013</v>
      </c>
      <c r="B54" s="4">
        <v>314508</v>
      </c>
      <c r="C54" s="2" t="s">
        <v>578</v>
      </c>
    </row>
    <row r="55" spans="1:3" x14ac:dyDescent="0.2">
      <c r="A55" s="2">
        <v>2014</v>
      </c>
      <c r="B55" s="4">
        <v>251226</v>
      </c>
      <c r="C55" s="2" t="s">
        <v>578</v>
      </c>
    </row>
    <row r="56" spans="1:3" x14ac:dyDescent="0.2">
      <c r="A56" s="2">
        <v>2015</v>
      </c>
      <c r="B56" s="4">
        <v>200697</v>
      </c>
      <c r="C56" s="2" t="s">
        <v>578</v>
      </c>
    </row>
    <row r="57" spans="1:3" x14ac:dyDescent="0.2">
      <c r="A57" s="2">
        <v>2016</v>
      </c>
      <c r="B57" s="4">
        <v>136048</v>
      </c>
      <c r="C57" s="2" t="s">
        <v>578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2D5144-3D3E-1D4C-9FB8-6F450FCF5264}">
  <dimension ref="A1:H78"/>
  <sheetViews>
    <sheetView workbookViewId="0">
      <selection sqref="A1:XFD1048576"/>
    </sheetView>
  </sheetViews>
  <sheetFormatPr baseColWidth="10" defaultRowHeight="16" x14ac:dyDescent="0.2"/>
  <cols>
    <col min="2" max="2" width="26.83203125" bestFit="1" customWidth="1"/>
    <col min="3" max="3" width="18" customWidth="1"/>
    <col min="4" max="4" width="26.83203125" bestFit="1" customWidth="1"/>
    <col min="5" max="5" width="20" bestFit="1" customWidth="1"/>
    <col min="6" max="6" width="25.5" bestFit="1" customWidth="1"/>
    <col min="7" max="7" width="49.83203125" bestFit="1" customWidth="1"/>
    <col min="8" max="8" width="51.1640625" bestFit="1" customWidth="1"/>
  </cols>
  <sheetData>
    <row r="1" spans="1:8" x14ac:dyDescent="0.2">
      <c r="A1" s="2" t="s">
        <v>579</v>
      </c>
      <c r="B1" s="2"/>
      <c r="C1" s="2" t="s">
        <v>580</v>
      </c>
      <c r="D1" s="2"/>
      <c r="E1" s="2"/>
      <c r="F1" s="2"/>
      <c r="G1" s="2"/>
      <c r="H1" s="2"/>
    </row>
    <row r="2" spans="1:8" x14ac:dyDescent="0.2">
      <c r="A2" s="2"/>
      <c r="B2" s="2"/>
      <c r="C2" s="2"/>
      <c r="D2" s="2"/>
      <c r="E2" s="2"/>
      <c r="F2" s="2"/>
      <c r="G2" s="2"/>
      <c r="H2" s="2"/>
    </row>
    <row r="3" spans="1:8" x14ac:dyDescent="0.2">
      <c r="A3" s="2"/>
      <c r="B3" s="2" t="s">
        <v>581</v>
      </c>
      <c r="C3" s="2" t="s">
        <v>582</v>
      </c>
      <c r="D3" s="2"/>
      <c r="E3" s="2"/>
      <c r="F3" s="2"/>
      <c r="G3" s="2"/>
      <c r="H3" s="2"/>
    </row>
    <row r="4" spans="1:8" x14ac:dyDescent="0.2">
      <c r="A4" s="2" t="s">
        <v>583</v>
      </c>
      <c r="B4" s="2" t="s">
        <v>584</v>
      </c>
      <c r="C4" s="2" t="s">
        <v>585</v>
      </c>
      <c r="D4" s="2" t="s">
        <v>581</v>
      </c>
      <c r="E4" s="2" t="s">
        <v>582</v>
      </c>
      <c r="F4" s="2" t="s">
        <v>586</v>
      </c>
      <c r="G4" s="2" t="s">
        <v>587</v>
      </c>
      <c r="H4" s="2" t="s">
        <v>588</v>
      </c>
    </row>
    <row r="5" spans="1:8" x14ac:dyDescent="0.2">
      <c r="A5" s="2">
        <v>1987</v>
      </c>
      <c r="B5" s="2">
        <v>-1399675.45</v>
      </c>
      <c r="C5" s="2">
        <v>-1399675.45</v>
      </c>
      <c r="D5" s="5" t="s">
        <v>589</v>
      </c>
      <c r="E5" s="5" t="s">
        <v>589</v>
      </c>
      <c r="F5" s="6" t="s">
        <v>590</v>
      </c>
      <c r="G5" s="6" t="s">
        <v>591</v>
      </c>
      <c r="H5" s="3" t="s">
        <v>592</v>
      </c>
    </row>
    <row r="6" spans="1:8" x14ac:dyDescent="0.2">
      <c r="A6" s="2">
        <v>1988</v>
      </c>
      <c r="B6" s="2">
        <v>-3517446.73</v>
      </c>
      <c r="C6" s="2">
        <v>-2117771.2799999998</v>
      </c>
      <c r="D6" s="5" t="s">
        <v>593</v>
      </c>
      <c r="E6" s="5" t="s">
        <v>594</v>
      </c>
      <c r="F6" s="6" t="s">
        <v>595</v>
      </c>
      <c r="G6" s="6" t="s">
        <v>596</v>
      </c>
      <c r="H6" s="2" t="s">
        <v>597</v>
      </c>
    </row>
    <row r="7" spans="1:8" x14ac:dyDescent="0.2">
      <c r="A7" s="2">
        <v>1989</v>
      </c>
      <c r="B7" s="2">
        <v>-11518724.609999999</v>
      </c>
      <c r="C7" s="2">
        <v>-8001277.8799999999</v>
      </c>
      <c r="D7" s="5" t="s">
        <v>598</v>
      </c>
      <c r="E7" s="5" t="s">
        <v>599</v>
      </c>
      <c r="F7" s="6" t="s">
        <v>600</v>
      </c>
      <c r="G7" s="6" t="s">
        <v>601</v>
      </c>
      <c r="H7" s="2" t="s">
        <v>602</v>
      </c>
    </row>
    <row r="8" spans="1:8" x14ac:dyDescent="0.2">
      <c r="A8" s="2">
        <v>1990</v>
      </c>
      <c r="B8" s="2">
        <v>-11530276.630000001</v>
      </c>
      <c r="C8" s="2">
        <v>-11552.02</v>
      </c>
      <c r="D8" s="5" t="s">
        <v>603</v>
      </c>
      <c r="E8" s="5" t="s">
        <v>604</v>
      </c>
      <c r="F8" s="6" t="s">
        <v>605</v>
      </c>
      <c r="G8" s="6" t="s">
        <v>606</v>
      </c>
      <c r="H8" s="2" t="s">
        <v>607</v>
      </c>
    </row>
    <row r="9" spans="1:8" x14ac:dyDescent="0.2">
      <c r="A9" s="2">
        <v>1991</v>
      </c>
      <c r="B9" s="2">
        <v>-11282314.359999999</v>
      </c>
      <c r="C9" s="2">
        <v>247962.27</v>
      </c>
      <c r="D9" s="5" t="s">
        <v>608</v>
      </c>
      <c r="E9" s="5" t="s">
        <v>609</v>
      </c>
      <c r="F9" s="6" t="s">
        <v>610</v>
      </c>
      <c r="G9" s="6" t="s">
        <v>611</v>
      </c>
      <c r="H9" s="2" t="s">
        <v>612</v>
      </c>
    </row>
    <row r="10" spans="1:8" x14ac:dyDescent="0.2">
      <c r="A10" s="2">
        <v>1992</v>
      </c>
      <c r="B10" s="2">
        <v>-9312744.4199999999</v>
      </c>
      <c r="C10" s="2">
        <v>1968440.64</v>
      </c>
      <c r="D10" s="5" t="s">
        <v>613</v>
      </c>
      <c r="E10" s="5" t="s">
        <v>614</v>
      </c>
      <c r="F10" s="6" t="s">
        <v>615</v>
      </c>
      <c r="G10" s="6" t="s">
        <v>616</v>
      </c>
      <c r="H10" s="2" t="s">
        <v>617</v>
      </c>
    </row>
    <row r="11" spans="1:8" x14ac:dyDescent="0.2">
      <c r="A11" s="2">
        <v>1993</v>
      </c>
      <c r="B11" s="2">
        <v>-10352780.48</v>
      </c>
      <c r="C11" s="2">
        <v>-1040036.06</v>
      </c>
      <c r="D11" s="5" t="s">
        <v>618</v>
      </c>
      <c r="E11" s="5" t="s">
        <v>619</v>
      </c>
      <c r="F11" s="6" t="s">
        <v>620</v>
      </c>
      <c r="G11" s="6" t="s">
        <v>621</v>
      </c>
      <c r="H11" s="2" t="s">
        <v>622</v>
      </c>
    </row>
    <row r="12" spans="1:8" x14ac:dyDescent="0.2">
      <c r="A12" s="2">
        <v>1994</v>
      </c>
      <c r="B12" s="2">
        <v>-8067330.8200000003</v>
      </c>
      <c r="C12" s="2">
        <v>2285449.66</v>
      </c>
      <c r="D12" s="5" t="s">
        <v>623</v>
      </c>
      <c r="E12" s="5" t="s">
        <v>624</v>
      </c>
      <c r="F12" s="6" t="s">
        <v>625</v>
      </c>
      <c r="G12" s="6" t="s">
        <v>626</v>
      </c>
      <c r="H12" s="2" t="s">
        <v>627</v>
      </c>
    </row>
    <row r="13" spans="1:8" x14ac:dyDescent="0.2">
      <c r="A13" s="2">
        <v>1995</v>
      </c>
      <c r="B13" s="2">
        <v>-7645091.5999999996</v>
      </c>
      <c r="C13" s="2">
        <v>422239.22</v>
      </c>
      <c r="D13" s="5" t="s">
        <v>628</v>
      </c>
      <c r="E13" s="5" t="s">
        <v>629</v>
      </c>
      <c r="F13" s="6" t="s">
        <v>630</v>
      </c>
      <c r="G13" s="6" t="s">
        <v>631</v>
      </c>
      <c r="H13" s="2" t="s">
        <v>632</v>
      </c>
    </row>
    <row r="14" spans="1:8" x14ac:dyDescent="0.2">
      <c r="A14" s="2">
        <v>1996</v>
      </c>
      <c r="B14" s="2">
        <v>-8199800.3600000003</v>
      </c>
      <c r="C14" s="2">
        <v>-554708.76</v>
      </c>
      <c r="D14" s="5" t="s">
        <v>633</v>
      </c>
      <c r="E14" s="5" t="s">
        <v>634</v>
      </c>
      <c r="F14" s="6" t="s">
        <v>635</v>
      </c>
      <c r="G14" s="6" t="s">
        <v>636</v>
      </c>
      <c r="H14" s="2" t="s">
        <v>637</v>
      </c>
    </row>
    <row r="15" spans="1:8" x14ac:dyDescent="0.2">
      <c r="A15" s="2">
        <v>1997</v>
      </c>
      <c r="B15" s="2">
        <v>-9107638.2699999996</v>
      </c>
      <c r="C15" s="2">
        <v>-907720.68</v>
      </c>
      <c r="D15" s="5" t="s">
        <v>638</v>
      </c>
      <c r="E15" s="5" t="s">
        <v>639</v>
      </c>
      <c r="F15" s="6" t="s">
        <v>640</v>
      </c>
      <c r="G15" s="6" t="s">
        <v>641</v>
      </c>
      <c r="H15" s="2" t="s">
        <v>642</v>
      </c>
    </row>
    <row r="16" spans="1:8" x14ac:dyDescent="0.2">
      <c r="A16" s="2">
        <v>1998</v>
      </c>
      <c r="B16" s="2">
        <v>-11377852.279999999</v>
      </c>
      <c r="C16" s="2">
        <v>-2270331.2400000002</v>
      </c>
      <c r="D16" s="5" t="s">
        <v>643</v>
      </c>
      <c r="E16" s="5" t="s">
        <v>644</v>
      </c>
      <c r="F16" s="6" t="s">
        <v>645</v>
      </c>
      <c r="G16" s="6" t="s">
        <v>646</v>
      </c>
      <c r="H16" s="2" t="s">
        <v>647</v>
      </c>
    </row>
    <row r="17" spans="1:8" x14ac:dyDescent="0.2">
      <c r="A17" s="2">
        <v>1999</v>
      </c>
      <c r="B17" s="2">
        <v>-11486292.9</v>
      </c>
      <c r="C17" s="2">
        <v>-108440.62</v>
      </c>
      <c r="D17" s="5" t="s">
        <v>648</v>
      </c>
      <c r="E17" s="5" t="s">
        <v>649</v>
      </c>
      <c r="F17" s="6" t="s">
        <v>650</v>
      </c>
      <c r="G17" s="6" t="s">
        <v>651</v>
      </c>
      <c r="H17" s="2" t="s">
        <v>652</v>
      </c>
    </row>
    <row r="18" spans="1:8" x14ac:dyDescent="0.2">
      <c r="A18" s="2">
        <v>2000</v>
      </c>
      <c r="B18" s="2">
        <v>-8744534.8300000001</v>
      </c>
      <c r="C18" s="2">
        <v>2741758.07</v>
      </c>
      <c r="D18" s="5" t="s">
        <v>653</v>
      </c>
      <c r="E18" s="5" t="s">
        <v>654</v>
      </c>
      <c r="F18" s="6" t="s">
        <v>655</v>
      </c>
      <c r="G18" s="6" t="s">
        <v>656</v>
      </c>
      <c r="H18" s="2" t="s">
        <v>657</v>
      </c>
    </row>
    <row r="19" spans="1:8" x14ac:dyDescent="0.2">
      <c r="A19" s="2">
        <v>2001</v>
      </c>
      <c r="B19" s="2">
        <v>-7457078.5099999998</v>
      </c>
      <c r="C19" s="2">
        <v>1287456.32</v>
      </c>
      <c r="D19" s="5" t="s">
        <v>658</v>
      </c>
      <c r="E19" s="5" t="s">
        <v>659</v>
      </c>
      <c r="F19" s="6" t="s">
        <v>660</v>
      </c>
      <c r="G19" s="6" t="s">
        <v>661</v>
      </c>
      <c r="H19" s="2" t="s">
        <v>662</v>
      </c>
    </row>
    <row r="20" spans="1:8" x14ac:dyDescent="0.2">
      <c r="A20" s="2">
        <v>2002</v>
      </c>
      <c r="B20" s="2">
        <v>-2361857.5299999998</v>
      </c>
      <c r="C20" s="2">
        <v>1450886.17</v>
      </c>
      <c r="D20" s="7">
        <v>-2361857.5299999998</v>
      </c>
      <c r="E20" s="7">
        <v>1450886.17</v>
      </c>
      <c r="F20" s="7">
        <v>6444.64</v>
      </c>
      <c r="G20" s="7">
        <v>598402.80000000005</v>
      </c>
      <c r="H20" s="2" t="s">
        <v>663</v>
      </c>
    </row>
    <row r="21" spans="1:8" x14ac:dyDescent="0.2">
      <c r="A21" s="2">
        <v>2003</v>
      </c>
      <c r="B21" s="2">
        <v>-2075055.69</v>
      </c>
      <c r="C21" s="2">
        <v>282742.84000000003</v>
      </c>
      <c r="D21" s="7">
        <v>-2075055.69</v>
      </c>
      <c r="E21" s="7">
        <v>282742.84000000003</v>
      </c>
      <c r="F21" s="7">
        <v>306606.19</v>
      </c>
      <c r="G21" s="7">
        <v>230923.7</v>
      </c>
      <c r="H21" s="2" t="s">
        <v>664</v>
      </c>
    </row>
    <row r="22" spans="1:8" x14ac:dyDescent="0.2">
      <c r="A22" s="2">
        <v>2004</v>
      </c>
      <c r="B22" s="2">
        <v>-1675890.46</v>
      </c>
      <c r="C22" s="2">
        <v>399165.23</v>
      </c>
      <c r="D22" s="7">
        <v>-1675890.46</v>
      </c>
      <c r="E22" s="7">
        <v>399165.23</v>
      </c>
      <c r="F22" s="7">
        <v>259777.17</v>
      </c>
      <c r="G22" s="7">
        <v>259891.71</v>
      </c>
      <c r="H22" s="2" t="s">
        <v>665</v>
      </c>
    </row>
    <row r="23" spans="1:8" x14ac:dyDescent="0.2">
      <c r="A23" s="2">
        <v>2005</v>
      </c>
      <c r="B23" s="2">
        <v>-1172533.96</v>
      </c>
      <c r="C23" s="2">
        <v>503356.5</v>
      </c>
      <c r="D23" s="7">
        <v>-1172533.96</v>
      </c>
      <c r="E23" s="7">
        <v>503356.5</v>
      </c>
      <c r="F23" s="7">
        <v>72667.12</v>
      </c>
      <c r="G23" s="7">
        <v>243443.48</v>
      </c>
      <c r="H23" s="2" t="s">
        <v>666</v>
      </c>
    </row>
    <row r="24" spans="1:8" x14ac:dyDescent="0.2">
      <c r="A24" s="2">
        <v>2006</v>
      </c>
      <c r="B24" s="2">
        <v>-846025.55</v>
      </c>
      <c r="C24" s="2">
        <v>326508.40999999997</v>
      </c>
      <c r="D24" s="7">
        <v>-846025.55</v>
      </c>
      <c r="E24" s="7">
        <v>326508.40999999997</v>
      </c>
      <c r="F24" s="7">
        <v>298065.82</v>
      </c>
      <c r="G24" s="7">
        <v>231971.94</v>
      </c>
      <c r="H24" s="2" t="s">
        <v>667</v>
      </c>
    </row>
    <row r="25" spans="1:8" x14ac:dyDescent="0.2">
      <c r="A25" s="2">
        <v>2007</v>
      </c>
      <c r="B25" s="2">
        <v>-845523.7</v>
      </c>
      <c r="C25" s="2">
        <v>501.85</v>
      </c>
      <c r="D25" s="7">
        <v>-845523.7</v>
      </c>
      <c r="E25" s="7">
        <v>501.85</v>
      </c>
      <c r="F25" s="7">
        <v>377160.51</v>
      </c>
      <c r="G25" s="7">
        <v>225763.76</v>
      </c>
      <c r="H25" s="2" t="s">
        <v>668</v>
      </c>
    </row>
    <row r="26" spans="1:8" x14ac:dyDescent="0.2">
      <c r="A26" s="2">
        <v>2008</v>
      </c>
      <c r="B26" s="2">
        <v>-939309.05</v>
      </c>
      <c r="C26" s="2">
        <v>-93785.35</v>
      </c>
      <c r="D26" s="7">
        <v>-939309.05</v>
      </c>
      <c r="E26" s="7">
        <v>-93785.35</v>
      </c>
      <c r="F26" s="7">
        <v>407690.83</v>
      </c>
      <c r="G26" s="7">
        <v>226819.35</v>
      </c>
      <c r="H26" s="2" t="s">
        <v>669</v>
      </c>
    </row>
    <row r="27" spans="1:8" x14ac:dyDescent="0.2">
      <c r="A27" s="2">
        <v>2009</v>
      </c>
      <c r="B27" s="2">
        <v>-995623.52</v>
      </c>
      <c r="C27" s="2">
        <v>-56314.47</v>
      </c>
      <c r="D27" s="7">
        <v>-995623.52</v>
      </c>
      <c r="E27" s="7">
        <v>-56314.47</v>
      </c>
      <c r="F27" s="7">
        <v>255902.93</v>
      </c>
      <c r="G27" s="7">
        <v>155775.56</v>
      </c>
      <c r="H27" s="2" t="s">
        <v>670</v>
      </c>
    </row>
    <row r="28" spans="1:8" x14ac:dyDescent="0.2">
      <c r="A28" s="2"/>
      <c r="B28" s="7"/>
      <c r="C28" s="7"/>
      <c r="D28" s="7"/>
      <c r="E28" s="7"/>
      <c r="F28" s="7"/>
      <c r="G28" s="7"/>
      <c r="H28" s="2"/>
    </row>
    <row r="29" spans="1:8" x14ac:dyDescent="0.2">
      <c r="A29" s="2"/>
      <c r="B29" s="7"/>
      <c r="C29" s="7"/>
      <c r="D29" s="7"/>
      <c r="E29" s="7"/>
      <c r="F29" s="7"/>
      <c r="G29" s="7"/>
      <c r="H29" s="2"/>
    </row>
    <row r="30" spans="1:8" x14ac:dyDescent="0.2">
      <c r="A30" s="2" t="s">
        <v>583</v>
      </c>
      <c r="B30" s="2" t="s">
        <v>671</v>
      </c>
      <c r="C30" s="2" t="s">
        <v>672</v>
      </c>
      <c r="D30" s="2" t="s">
        <v>673</v>
      </c>
      <c r="E30" s="2" t="s">
        <v>674</v>
      </c>
      <c r="F30" s="2"/>
      <c r="G30" s="7"/>
      <c r="H30" s="2"/>
    </row>
    <row r="31" spans="1:8" x14ac:dyDescent="0.2">
      <c r="A31" s="2">
        <v>1987</v>
      </c>
      <c r="B31" s="2">
        <v>-1399675.45</v>
      </c>
      <c r="C31" s="7"/>
      <c r="D31" s="2">
        <v>-1399675.45</v>
      </c>
      <c r="E31" s="7"/>
      <c r="F31" s="7"/>
      <c r="G31" s="7"/>
      <c r="H31" s="2"/>
    </row>
    <row r="32" spans="1:8" x14ac:dyDescent="0.2">
      <c r="A32" s="2">
        <v>1988</v>
      </c>
      <c r="B32" s="2">
        <v>-3517446.73</v>
      </c>
      <c r="C32" s="7"/>
      <c r="D32" s="2">
        <v>-2117771.2799999998</v>
      </c>
      <c r="E32" s="7"/>
      <c r="F32" s="7"/>
      <c r="G32" s="7"/>
      <c r="H32" s="2"/>
    </row>
    <row r="33" spans="1:8" x14ac:dyDescent="0.2">
      <c r="A33" s="2">
        <v>1989</v>
      </c>
      <c r="B33" s="2">
        <v>-11518724.609999999</v>
      </c>
      <c r="C33" s="2"/>
      <c r="D33" s="2">
        <v>-8001277.8799999999</v>
      </c>
      <c r="E33" s="2"/>
      <c r="F33" s="2"/>
      <c r="G33" s="2"/>
      <c r="H33" s="2"/>
    </row>
    <row r="34" spans="1:8" x14ac:dyDescent="0.2">
      <c r="A34" s="2">
        <v>1990</v>
      </c>
      <c r="B34" s="2">
        <v>-11530276.630000001</v>
      </c>
      <c r="C34" s="2"/>
      <c r="D34" s="2">
        <v>-11552.02</v>
      </c>
      <c r="E34" s="2"/>
      <c r="F34" s="2"/>
      <c r="G34" s="2"/>
      <c r="H34" s="2"/>
    </row>
    <row r="35" spans="1:8" x14ac:dyDescent="0.2">
      <c r="A35" s="2">
        <v>1991</v>
      </c>
      <c r="B35" s="2">
        <v>-11282314.359999999</v>
      </c>
      <c r="C35" s="2"/>
      <c r="D35" s="2">
        <v>247962.27</v>
      </c>
      <c r="E35" s="2"/>
      <c r="F35" s="2"/>
      <c r="G35" s="2"/>
      <c r="H35" s="2"/>
    </row>
    <row r="36" spans="1:8" x14ac:dyDescent="0.2">
      <c r="A36" s="2">
        <v>1992</v>
      </c>
      <c r="B36" s="2">
        <v>-9312744.4199999999</v>
      </c>
      <c r="C36" s="2"/>
      <c r="D36" s="2">
        <v>1968440.64</v>
      </c>
      <c r="E36" s="2"/>
      <c r="F36" s="2"/>
      <c r="G36" s="2"/>
      <c r="H36" s="2"/>
    </row>
    <row r="37" spans="1:8" x14ac:dyDescent="0.2">
      <c r="A37" s="2">
        <v>1993</v>
      </c>
      <c r="B37" s="2">
        <v>-10352780.48</v>
      </c>
      <c r="C37" s="2"/>
      <c r="D37" s="2">
        <v>-1040036.06</v>
      </c>
      <c r="E37" s="2"/>
      <c r="F37" s="2"/>
      <c r="G37" s="2"/>
      <c r="H37" s="2"/>
    </row>
    <row r="38" spans="1:8" x14ac:dyDescent="0.2">
      <c r="A38" s="2">
        <v>1994</v>
      </c>
      <c r="B38" s="2">
        <v>-8067330.8200000003</v>
      </c>
      <c r="C38" s="2"/>
      <c r="D38" s="2">
        <v>2285449.66</v>
      </c>
      <c r="E38" s="2"/>
      <c r="F38" s="2"/>
      <c r="G38" s="2"/>
      <c r="H38" s="2"/>
    </row>
    <row r="39" spans="1:8" x14ac:dyDescent="0.2">
      <c r="A39" s="2">
        <v>1995</v>
      </c>
      <c r="B39" s="2">
        <v>-7645091.5999999996</v>
      </c>
      <c r="C39" s="2"/>
      <c r="D39" s="2">
        <v>422239.22</v>
      </c>
      <c r="E39" s="2"/>
      <c r="F39" s="2"/>
      <c r="G39" s="2"/>
      <c r="H39" s="2"/>
    </row>
    <row r="40" spans="1:8" x14ac:dyDescent="0.2">
      <c r="A40" s="2">
        <v>1996</v>
      </c>
      <c r="B40" s="2">
        <v>-8199800.3600000003</v>
      </c>
      <c r="C40" s="2"/>
      <c r="D40" s="2">
        <v>-554708.76</v>
      </c>
      <c r="E40" s="2"/>
      <c r="F40" s="2"/>
      <c r="G40" s="2"/>
      <c r="H40" s="2"/>
    </row>
    <row r="41" spans="1:8" x14ac:dyDescent="0.2">
      <c r="A41" s="2">
        <v>1997</v>
      </c>
      <c r="B41" s="2">
        <v>-9107638.2699999996</v>
      </c>
      <c r="C41" s="2"/>
      <c r="D41" s="2">
        <v>-907720.68</v>
      </c>
      <c r="E41" s="2"/>
      <c r="F41" s="2"/>
      <c r="G41" s="2"/>
      <c r="H41" s="2"/>
    </row>
    <row r="42" spans="1:8" x14ac:dyDescent="0.2">
      <c r="A42" s="2">
        <v>1998</v>
      </c>
      <c r="B42" s="2">
        <v>-11377852.279999999</v>
      </c>
      <c r="C42" s="2"/>
      <c r="D42" s="2">
        <v>-2270331.2400000002</v>
      </c>
      <c r="E42" s="2"/>
      <c r="F42" s="2"/>
      <c r="G42" s="2"/>
      <c r="H42" s="2"/>
    </row>
    <row r="43" spans="1:8" x14ac:dyDescent="0.2">
      <c r="A43" s="2">
        <v>1999</v>
      </c>
      <c r="B43" s="2">
        <v>-11486292.9</v>
      </c>
      <c r="C43" s="2"/>
      <c r="D43" s="2">
        <v>-108440.62</v>
      </c>
      <c r="E43" s="2"/>
      <c r="F43" s="2"/>
      <c r="G43" s="2"/>
      <c r="H43" s="2"/>
    </row>
    <row r="44" spans="1:8" x14ac:dyDescent="0.2">
      <c r="A44" s="2">
        <v>2000</v>
      </c>
      <c r="B44" s="2">
        <v>-8744534.8300000001</v>
      </c>
      <c r="C44" s="2"/>
      <c r="D44" s="2">
        <v>2741758.07</v>
      </c>
      <c r="E44" s="2"/>
      <c r="F44" s="2"/>
      <c r="G44" s="2"/>
      <c r="H44" s="2"/>
    </row>
    <row r="45" spans="1:8" x14ac:dyDescent="0.2">
      <c r="A45" s="2">
        <v>2001</v>
      </c>
      <c r="B45" s="2">
        <v>-7457078.5099999998</v>
      </c>
      <c r="C45" s="2"/>
      <c r="D45" s="2">
        <v>1287456.32</v>
      </c>
      <c r="E45" s="2"/>
      <c r="F45" s="2"/>
      <c r="G45" s="2"/>
      <c r="H45" s="2"/>
    </row>
    <row r="46" spans="1:8" x14ac:dyDescent="0.2">
      <c r="A46" s="2">
        <v>2002</v>
      </c>
      <c r="B46" s="2"/>
      <c r="C46" s="2">
        <v>-2361857.5299999998</v>
      </c>
      <c r="D46" s="2"/>
      <c r="E46" s="2">
        <v>1450886.17</v>
      </c>
      <c r="F46" s="2"/>
      <c r="G46" s="2"/>
      <c r="H46" s="2"/>
    </row>
    <row r="47" spans="1:8" x14ac:dyDescent="0.2">
      <c r="A47" s="2">
        <v>2003</v>
      </c>
      <c r="B47" s="2"/>
      <c r="C47" s="2">
        <v>-2075055.69</v>
      </c>
      <c r="D47" s="2"/>
      <c r="E47" s="2">
        <v>282742.84000000003</v>
      </c>
      <c r="F47" s="2"/>
      <c r="G47" s="2"/>
      <c r="H47" s="2"/>
    </row>
    <row r="48" spans="1:8" x14ac:dyDescent="0.2">
      <c r="A48" s="2">
        <v>2004</v>
      </c>
      <c r="B48" s="2"/>
      <c r="C48" s="2">
        <v>-1675890.46</v>
      </c>
      <c r="D48" s="2"/>
      <c r="E48" s="2">
        <v>399165.23</v>
      </c>
      <c r="F48" s="2"/>
      <c r="G48" s="2"/>
      <c r="H48" s="2"/>
    </row>
    <row r="49" spans="1:8" x14ac:dyDescent="0.2">
      <c r="A49" s="2">
        <v>2005</v>
      </c>
      <c r="B49" s="2"/>
      <c r="C49" s="2">
        <v>-1172533.96</v>
      </c>
      <c r="D49" s="2"/>
      <c r="E49" s="2">
        <v>503356.5</v>
      </c>
      <c r="F49" s="2"/>
      <c r="G49" s="2"/>
      <c r="H49" s="2"/>
    </row>
    <row r="50" spans="1:8" x14ac:dyDescent="0.2">
      <c r="A50" s="2">
        <v>2006</v>
      </c>
      <c r="B50" s="2"/>
      <c r="C50" s="2">
        <v>-846025.55</v>
      </c>
      <c r="D50" s="2"/>
      <c r="E50" s="2">
        <v>326508.40999999997</v>
      </c>
      <c r="F50" s="2"/>
      <c r="G50" s="2"/>
      <c r="H50" s="2"/>
    </row>
    <row r="51" spans="1:8" x14ac:dyDescent="0.2">
      <c r="A51" s="2">
        <v>2007</v>
      </c>
      <c r="B51" s="2"/>
      <c r="C51" s="2">
        <v>-845523.7</v>
      </c>
      <c r="D51" s="2"/>
      <c r="E51" s="2">
        <v>501.85</v>
      </c>
      <c r="F51" s="2"/>
      <c r="G51" s="2"/>
      <c r="H51" s="2"/>
    </row>
    <row r="52" spans="1:8" x14ac:dyDescent="0.2">
      <c r="A52" s="2">
        <v>2008</v>
      </c>
      <c r="B52" s="2"/>
      <c r="C52" s="2">
        <v>-939309.05</v>
      </c>
      <c r="D52" s="2"/>
      <c r="E52" s="2">
        <v>-93785.35</v>
      </c>
      <c r="F52" s="2"/>
      <c r="G52" s="2"/>
      <c r="H52" s="2"/>
    </row>
    <row r="53" spans="1:8" x14ac:dyDescent="0.2">
      <c r="A53" s="2">
        <v>2009</v>
      </c>
      <c r="B53" s="2"/>
      <c r="C53" s="2">
        <v>-995623.52</v>
      </c>
      <c r="D53" s="2"/>
      <c r="E53" s="2">
        <v>-56314.47</v>
      </c>
      <c r="F53" s="2"/>
      <c r="G53" s="2"/>
      <c r="H53" s="2"/>
    </row>
    <row r="54" spans="1:8" x14ac:dyDescent="0.2">
      <c r="A54" s="2"/>
      <c r="B54" s="2"/>
      <c r="C54" s="2"/>
      <c r="D54" s="2"/>
      <c r="E54" s="2"/>
      <c r="F54" s="2"/>
      <c r="G54" s="2"/>
      <c r="H54" s="2"/>
    </row>
    <row r="55" spans="1:8" x14ac:dyDescent="0.2">
      <c r="A55" s="2" t="s">
        <v>583</v>
      </c>
      <c r="B55" s="2" t="s">
        <v>671</v>
      </c>
      <c r="C55" s="2" t="s">
        <v>672</v>
      </c>
      <c r="D55" s="2" t="s">
        <v>585</v>
      </c>
      <c r="E55" s="2"/>
      <c r="F55" s="2"/>
      <c r="G55" s="2"/>
      <c r="H55" s="2"/>
    </row>
    <row r="56" spans="1:8" x14ac:dyDescent="0.2">
      <c r="A56" s="2">
        <v>1987</v>
      </c>
      <c r="B56" s="2">
        <v>-1399675.45</v>
      </c>
      <c r="C56" s="7"/>
      <c r="D56" s="2">
        <v>-1399675.45</v>
      </c>
      <c r="E56" s="2"/>
      <c r="F56" s="2"/>
      <c r="G56" s="2"/>
      <c r="H56" s="2"/>
    </row>
    <row r="57" spans="1:8" x14ac:dyDescent="0.2">
      <c r="A57" s="2">
        <v>1988</v>
      </c>
      <c r="B57" s="2">
        <v>-3517446.73</v>
      </c>
      <c r="C57" s="7"/>
      <c r="D57" s="2">
        <v>-2117771.2799999998</v>
      </c>
      <c r="E57" s="2"/>
      <c r="F57" s="2"/>
      <c r="G57" s="2"/>
      <c r="H57" s="2"/>
    </row>
    <row r="58" spans="1:8" x14ac:dyDescent="0.2">
      <c r="A58" s="2">
        <v>1989</v>
      </c>
      <c r="B58" s="2">
        <v>-11518724.609999999</v>
      </c>
      <c r="C58" s="2"/>
      <c r="D58" s="2">
        <v>-8001277.8799999999</v>
      </c>
      <c r="E58" s="2"/>
      <c r="F58" s="2"/>
      <c r="G58" s="2"/>
      <c r="H58" s="2"/>
    </row>
    <row r="59" spans="1:8" x14ac:dyDescent="0.2">
      <c r="A59" s="2">
        <v>1990</v>
      </c>
      <c r="B59" s="2">
        <v>-11530276.630000001</v>
      </c>
      <c r="C59" s="2"/>
      <c r="D59" s="2">
        <v>-11552.02</v>
      </c>
      <c r="E59" s="2"/>
      <c r="F59" s="2"/>
      <c r="G59" s="2"/>
      <c r="H59" s="2"/>
    </row>
    <row r="60" spans="1:8" x14ac:dyDescent="0.2">
      <c r="A60" s="2">
        <v>1991</v>
      </c>
      <c r="B60" s="2">
        <v>-11282314.359999999</v>
      </c>
      <c r="C60" s="2"/>
      <c r="D60" s="2">
        <v>247962.27</v>
      </c>
      <c r="E60" s="2"/>
      <c r="F60" s="2"/>
      <c r="G60" s="2"/>
      <c r="H60" s="2"/>
    </row>
    <row r="61" spans="1:8" x14ac:dyDescent="0.2">
      <c r="A61" s="2">
        <v>1992</v>
      </c>
      <c r="B61" s="2">
        <v>-9312744.4199999999</v>
      </c>
      <c r="C61" s="2"/>
      <c r="D61" s="2">
        <v>1968440.64</v>
      </c>
      <c r="E61" s="2"/>
      <c r="F61" s="2"/>
      <c r="G61" s="2"/>
      <c r="H61" s="2"/>
    </row>
    <row r="62" spans="1:8" x14ac:dyDescent="0.2">
      <c r="A62" s="2">
        <v>1993</v>
      </c>
      <c r="B62" s="2">
        <v>-10352780.48</v>
      </c>
      <c r="C62" s="2"/>
      <c r="D62" s="2">
        <v>-1040036.06</v>
      </c>
      <c r="E62" s="2"/>
      <c r="F62" s="2"/>
      <c r="G62" s="2"/>
      <c r="H62" s="2"/>
    </row>
    <row r="63" spans="1:8" x14ac:dyDescent="0.2">
      <c r="A63" s="2">
        <v>1994</v>
      </c>
      <c r="B63" s="2">
        <v>-8067330.8200000003</v>
      </c>
      <c r="C63" s="2"/>
      <c r="D63" s="2">
        <v>2285449.66</v>
      </c>
      <c r="E63" s="2"/>
      <c r="F63" s="2"/>
      <c r="G63" s="2"/>
      <c r="H63" s="2"/>
    </row>
    <row r="64" spans="1:8" x14ac:dyDescent="0.2">
      <c r="A64" s="2">
        <v>1995</v>
      </c>
      <c r="B64" s="2">
        <v>-7645091.5999999996</v>
      </c>
      <c r="C64" s="2"/>
      <c r="D64" s="2">
        <v>422239.22</v>
      </c>
      <c r="E64" s="2"/>
      <c r="F64" s="2"/>
      <c r="G64" s="2"/>
      <c r="H64" s="2"/>
    </row>
    <row r="65" spans="1:8" x14ac:dyDescent="0.2">
      <c r="A65" s="2">
        <v>1996</v>
      </c>
      <c r="B65" s="2">
        <v>-8199800.3600000003</v>
      </c>
      <c r="C65" s="2"/>
      <c r="D65" s="2">
        <v>-554708.76</v>
      </c>
      <c r="E65" s="2"/>
      <c r="F65" s="2"/>
      <c r="G65" s="2"/>
      <c r="H65" s="2"/>
    </row>
    <row r="66" spans="1:8" x14ac:dyDescent="0.2">
      <c r="A66" s="2">
        <v>1997</v>
      </c>
      <c r="B66" s="2">
        <v>-9107638.2699999996</v>
      </c>
      <c r="C66" s="2"/>
      <c r="D66" s="2">
        <v>-907720.68</v>
      </c>
      <c r="E66" s="2"/>
      <c r="F66" s="2"/>
      <c r="G66" s="2"/>
      <c r="H66" s="2"/>
    </row>
    <row r="67" spans="1:8" x14ac:dyDescent="0.2">
      <c r="A67" s="2">
        <v>1998</v>
      </c>
      <c r="B67" s="2">
        <v>-11377852.279999999</v>
      </c>
      <c r="C67" s="2"/>
      <c r="D67" s="2">
        <v>-2270331.2400000002</v>
      </c>
      <c r="E67" s="2"/>
      <c r="F67" s="2"/>
      <c r="G67" s="2"/>
      <c r="H67" s="2"/>
    </row>
    <row r="68" spans="1:8" x14ac:dyDescent="0.2">
      <c r="A68" s="2">
        <v>1999</v>
      </c>
      <c r="B68" s="2">
        <v>-11486292.9</v>
      </c>
      <c r="C68" s="2"/>
      <c r="D68" s="2">
        <v>-108440.62</v>
      </c>
      <c r="E68" s="2"/>
      <c r="F68" s="2"/>
      <c r="G68" s="2"/>
      <c r="H68" s="2"/>
    </row>
    <row r="69" spans="1:8" x14ac:dyDescent="0.2">
      <c r="A69" s="2">
        <v>2000</v>
      </c>
      <c r="B69" s="2">
        <v>-8744534.8300000001</v>
      </c>
      <c r="C69" s="2"/>
      <c r="D69" s="2">
        <v>2741758.07</v>
      </c>
      <c r="E69" s="2"/>
      <c r="F69" s="2"/>
      <c r="G69" s="2"/>
      <c r="H69" s="2"/>
    </row>
    <row r="70" spans="1:8" x14ac:dyDescent="0.2">
      <c r="A70" s="2">
        <v>2001</v>
      </c>
      <c r="B70" s="2">
        <v>-7457078.5099999998</v>
      </c>
      <c r="C70" s="2"/>
      <c r="D70" s="2">
        <v>1287456.32</v>
      </c>
      <c r="E70" s="2"/>
      <c r="F70" s="2"/>
      <c r="G70" s="2"/>
      <c r="H70" s="2"/>
    </row>
    <row r="71" spans="1:8" x14ac:dyDescent="0.2">
      <c r="A71" s="2">
        <v>2002</v>
      </c>
      <c r="B71" s="2"/>
      <c r="C71" s="2">
        <v>-2361857.5299999998</v>
      </c>
      <c r="D71" s="2">
        <v>1450886.17</v>
      </c>
      <c r="E71" s="2"/>
      <c r="F71" s="2"/>
      <c r="G71" s="2"/>
      <c r="H71" s="2"/>
    </row>
    <row r="72" spans="1:8" x14ac:dyDescent="0.2">
      <c r="A72" s="2">
        <v>2003</v>
      </c>
      <c r="B72" s="2"/>
      <c r="C72" s="2">
        <v>-2075055.69</v>
      </c>
      <c r="D72" s="2">
        <v>282742.84000000003</v>
      </c>
      <c r="E72" s="2"/>
      <c r="F72" s="2"/>
      <c r="G72" s="2"/>
      <c r="H72" s="2"/>
    </row>
    <row r="73" spans="1:8" x14ac:dyDescent="0.2">
      <c r="A73" s="2">
        <v>2004</v>
      </c>
      <c r="B73" s="2"/>
      <c r="C73" s="2">
        <v>-1675890.46</v>
      </c>
      <c r="D73" s="2">
        <v>399165.23</v>
      </c>
      <c r="E73" s="2"/>
      <c r="F73" s="2"/>
      <c r="G73" s="2"/>
      <c r="H73" s="2"/>
    </row>
    <row r="74" spans="1:8" x14ac:dyDescent="0.2">
      <c r="A74" s="2">
        <v>2005</v>
      </c>
      <c r="B74" s="2"/>
      <c r="C74" s="2">
        <v>-1172533.96</v>
      </c>
      <c r="D74" s="2">
        <v>503356.5</v>
      </c>
      <c r="E74" s="2"/>
      <c r="F74" s="2"/>
      <c r="G74" s="2"/>
      <c r="H74" s="2"/>
    </row>
    <row r="75" spans="1:8" x14ac:dyDescent="0.2">
      <c r="A75" s="2">
        <v>2006</v>
      </c>
      <c r="B75" s="2"/>
      <c r="C75" s="2">
        <v>-846025.55</v>
      </c>
      <c r="D75" s="2">
        <v>326508.40999999997</v>
      </c>
      <c r="E75" s="2"/>
      <c r="F75" s="2"/>
      <c r="G75" s="2"/>
      <c r="H75" s="2"/>
    </row>
    <row r="76" spans="1:8" x14ac:dyDescent="0.2">
      <c r="A76" s="2">
        <v>2007</v>
      </c>
      <c r="B76" s="2"/>
      <c r="C76" s="2">
        <v>-845523.7</v>
      </c>
      <c r="D76" s="2">
        <v>501.85</v>
      </c>
      <c r="E76" s="2"/>
      <c r="F76" s="2"/>
      <c r="G76" s="2"/>
      <c r="H76" s="2"/>
    </row>
    <row r="77" spans="1:8" x14ac:dyDescent="0.2">
      <c r="A77" s="2">
        <v>2008</v>
      </c>
      <c r="B77" s="2"/>
      <c r="C77" s="2">
        <v>-939309.05</v>
      </c>
      <c r="D77" s="2">
        <v>-93785.35</v>
      </c>
      <c r="E77" s="2"/>
      <c r="F77" s="2"/>
      <c r="G77" s="2"/>
      <c r="H77" s="2"/>
    </row>
    <row r="78" spans="1:8" x14ac:dyDescent="0.2">
      <c r="A78" s="2">
        <v>2009</v>
      </c>
      <c r="B78" s="2"/>
      <c r="C78" s="2">
        <v>-995623.52</v>
      </c>
      <c r="D78" s="2">
        <v>-56314.47</v>
      </c>
      <c r="E78" s="2"/>
      <c r="F78" s="2"/>
      <c r="G78" s="2"/>
      <c r="H78" s="2"/>
    </row>
  </sheetData>
  <hyperlinks>
    <hyperlink ref="H5" r:id="rId1" xr:uid="{DAD37097-81D7-1A47-A168-4B5FDA009FE9}"/>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D61765-8B6C-AB4A-9438-B78D8A174058}">
  <dimension ref="A1:F26"/>
  <sheetViews>
    <sheetView workbookViewId="0">
      <selection activeCell="E15" sqref="E15"/>
    </sheetView>
  </sheetViews>
  <sheetFormatPr baseColWidth="10" defaultRowHeight="16" x14ac:dyDescent="0.2"/>
  <cols>
    <col min="1" max="1" width="13.83203125" bestFit="1" customWidth="1"/>
  </cols>
  <sheetData>
    <row r="1" spans="1:6" x14ac:dyDescent="0.2">
      <c r="A1" t="s">
        <v>583</v>
      </c>
      <c r="B1" t="s">
        <v>724</v>
      </c>
    </row>
    <row r="2" spans="1:6" x14ac:dyDescent="0.2">
      <c r="A2">
        <v>1994</v>
      </c>
      <c r="B2">
        <v>10963</v>
      </c>
    </row>
    <row r="3" spans="1:6" x14ac:dyDescent="0.2">
      <c r="A3">
        <v>1995</v>
      </c>
      <c r="B3">
        <v>11333</v>
      </c>
    </row>
    <row r="4" spans="1:6" x14ac:dyDescent="0.2">
      <c r="A4">
        <v>1996</v>
      </c>
      <c r="B4">
        <v>11719</v>
      </c>
    </row>
    <row r="5" spans="1:6" x14ac:dyDescent="0.2">
      <c r="A5">
        <v>1997</v>
      </c>
      <c r="B5">
        <v>12712</v>
      </c>
    </row>
    <row r="6" spans="1:6" x14ac:dyDescent="0.2">
      <c r="A6">
        <v>1998</v>
      </c>
      <c r="B6">
        <v>13436</v>
      </c>
    </row>
    <row r="7" spans="1:6" x14ac:dyDescent="0.2">
      <c r="A7">
        <v>1999</v>
      </c>
      <c r="B7">
        <v>22144</v>
      </c>
      <c r="F7" t="s">
        <v>725</v>
      </c>
    </row>
    <row r="8" spans="1:6" x14ac:dyDescent="0.2">
      <c r="A8">
        <v>2000</v>
      </c>
      <c r="B8">
        <v>45820</v>
      </c>
    </row>
    <row r="9" spans="1:6" x14ac:dyDescent="0.2">
      <c r="A9">
        <v>2001</v>
      </c>
      <c r="B9">
        <v>50905</v>
      </c>
      <c r="F9" t="s">
        <v>726</v>
      </c>
    </row>
    <row r="10" spans="1:6" x14ac:dyDescent="0.2">
      <c r="A10">
        <v>2002</v>
      </c>
      <c r="B10">
        <v>51886</v>
      </c>
    </row>
    <row r="11" spans="1:6" x14ac:dyDescent="0.2">
      <c r="A11">
        <v>2003</v>
      </c>
      <c r="B11">
        <v>46748</v>
      </c>
    </row>
    <row r="12" spans="1:6" x14ac:dyDescent="0.2">
      <c r="A12">
        <v>2004</v>
      </c>
      <c r="B12">
        <v>50281</v>
      </c>
    </row>
    <row r="13" spans="1:6" x14ac:dyDescent="0.2">
      <c r="A13">
        <v>2005</v>
      </c>
      <c r="B13">
        <v>55444</v>
      </c>
    </row>
    <row r="14" spans="1:6" x14ac:dyDescent="0.2">
      <c r="A14">
        <v>2006</v>
      </c>
      <c r="B14">
        <v>57752</v>
      </c>
    </row>
    <row r="15" spans="1:6" x14ac:dyDescent="0.2">
      <c r="A15">
        <v>2007</v>
      </c>
      <c r="B15">
        <v>59520</v>
      </c>
    </row>
    <row r="16" spans="1:6" x14ac:dyDescent="0.2">
      <c r="A16">
        <v>2008</v>
      </c>
      <c r="B16">
        <v>56300</v>
      </c>
    </row>
    <row r="17" spans="1:3" x14ac:dyDescent="0.2">
      <c r="A17">
        <v>2009</v>
      </c>
      <c r="B17">
        <v>53285</v>
      </c>
    </row>
    <row r="18" spans="1:3" x14ac:dyDescent="0.2">
      <c r="A18">
        <v>2010</v>
      </c>
      <c r="B18">
        <v>52504</v>
      </c>
    </row>
    <row r="19" spans="1:3" x14ac:dyDescent="0.2">
      <c r="A19">
        <v>2011</v>
      </c>
      <c r="B19">
        <v>48800</v>
      </c>
    </row>
    <row r="20" spans="1:3" x14ac:dyDescent="0.2">
      <c r="A20">
        <v>2012</v>
      </c>
      <c r="B20">
        <v>45134</v>
      </c>
    </row>
    <row r="21" spans="1:3" x14ac:dyDescent="0.2">
      <c r="A21">
        <v>2013</v>
      </c>
      <c r="B21">
        <v>45000</v>
      </c>
      <c r="C21">
        <v>6</v>
      </c>
    </row>
    <row r="22" spans="1:3" x14ac:dyDescent="0.2">
      <c r="A22">
        <v>2014</v>
      </c>
      <c r="B22">
        <v>48000</v>
      </c>
      <c r="C22">
        <v>4</v>
      </c>
    </row>
    <row r="23" spans="1:3" x14ac:dyDescent="0.2">
      <c r="A23">
        <v>2015</v>
      </c>
      <c r="B23">
        <v>51000</v>
      </c>
      <c r="C23">
        <v>5</v>
      </c>
    </row>
    <row r="24" spans="1:3" x14ac:dyDescent="0.2">
      <c r="A24">
        <v>2016</v>
      </c>
      <c r="C24">
        <v>10</v>
      </c>
    </row>
    <row r="25" spans="1:3" x14ac:dyDescent="0.2">
      <c r="A25">
        <v>2017</v>
      </c>
      <c r="C25">
        <v>21</v>
      </c>
    </row>
    <row r="26" spans="1:3" x14ac:dyDescent="0.2">
      <c r="A26">
        <v>2018</v>
      </c>
      <c r="C26">
        <v>28</v>
      </c>
    </row>
  </sheetData>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2B6B50-E5C8-7747-AA3A-BF972F8855A9}">
  <dimension ref="A1:C225"/>
  <sheetViews>
    <sheetView topLeftCell="A104" workbookViewId="0">
      <selection activeCell="E18" sqref="E18"/>
    </sheetView>
  </sheetViews>
  <sheetFormatPr baseColWidth="10" defaultRowHeight="16" x14ac:dyDescent="0.2"/>
  <sheetData>
    <row r="1" spans="1:3" x14ac:dyDescent="0.2">
      <c r="A1" t="s">
        <v>583</v>
      </c>
      <c r="B1" s="2" t="s">
        <v>686</v>
      </c>
      <c r="C1" s="2" t="s">
        <v>687</v>
      </c>
    </row>
    <row r="2" spans="1:3" x14ac:dyDescent="0.2">
      <c r="A2">
        <v>1990</v>
      </c>
      <c r="B2">
        <v>2</v>
      </c>
      <c r="C2" t="s">
        <v>694</v>
      </c>
    </row>
    <row r="3" spans="1:3" x14ac:dyDescent="0.2">
      <c r="A3">
        <v>1991</v>
      </c>
      <c r="B3">
        <v>3</v>
      </c>
      <c r="C3" t="s">
        <v>694</v>
      </c>
    </row>
    <row r="4" spans="1:3" x14ac:dyDescent="0.2">
      <c r="A4">
        <v>1992</v>
      </c>
      <c r="B4">
        <v>16</v>
      </c>
      <c r="C4" t="s">
        <v>694</v>
      </c>
    </row>
    <row r="5" spans="1:3" x14ac:dyDescent="0.2">
      <c r="A5">
        <v>1993</v>
      </c>
      <c r="B5">
        <v>23</v>
      </c>
      <c r="C5" t="s">
        <v>694</v>
      </c>
    </row>
    <row r="6" spans="1:3" x14ac:dyDescent="0.2">
      <c r="A6">
        <v>1994</v>
      </c>
      <c r="B6">
        <v>10</v>
      </c>
      <c r="C6" t="s">
        <v>694</v>
      </c>
    </row>
    <row r="7" spans="1:3" x14ac:dyDescent="0.2">
      <c r="A7">
        <v>1995</v>
      </c>
      <c r="B7">
        <v>10</v>
      </c>
      <c r="C7" t="s">
        <v>694</v>
      </c>
    </row>
    <row r="8" spans="1:3" x14ac:dyDescent="0.2">
      <c r="A8">
        <v>1996</v>
      </c>
      <c r="B8">
        <v>13</v>
      </c>
      <c r="C8" t="s">
        <v>694</v>
      </c>
    </row>
    <row r="9" spans="1:3" x14ac:dyDescent="0.2">
      <c r="A9">
        <v>1997</v>
      </c>
      <c r="B9">
        <v>13</v>
      </c>
      <c r="C9" t="s">
        <v>694</v>
      </c>
    </row>
    <row r="10" spans="1:3" x14ac:dyDescent="0.2">
      <c r="A10">
        <v>1998</v>
      </c>
      <c r="B10">
        <v>16</v>
      </c>
      <c r="C10" t="s">
        <v>694</v>
      </c>
    </row>
    <row r="11" spans="1:3" x14ac:dyDescent="0.2">
      <c r="A11">
        <v>1999</v>
      </c>
      <c r="B11">
        <v>14</v>
      </c>
      <c r="C11" t="s">
        <v>694</v>
      </c>
    </row>
    <row r="12" spans="1:3" x14ac:dyDescent="0.2">
      <c r="A12">
        <v>2000</v>
      </c>
      <c r="B12">
        <v>17</v>
      </c>
      <c r="C12" t="s">
        <v>694</v>
      </c>
    </row>
    <row r="13" spans="1:3" x14ac:dyDescent="0.2">
      <c r="A13">
        <v>2001</v>
      </c>
      <c r="B13">
        <v>9</v>
      </c>
      <c r="C13" t="s">
        <v>694</v>
      </c>
    </row>
    <row r="14" spans="1:3" x14ac:dyDescent="0.2">
      <c r="A14">
        <v>2002</v>
      </c>
      <c r="B14">
        <v>8</v>
      </c>
      <c r="C14" t="s">
        <v>694</v>
      </c>
    </row>
    <row r="15" spans="1:3" x14ac:dyDescent="0.2">
      <c r="A15">
        <v>2003</v>
      </c>
      <c r="B15">
        <v>7</v>
      </c>
      <c r="C15" t="s">
        <v>694</v>
      </c>
    </row>
    <row r="16" spans="1:3" x14ac:dyDescent="0.2">
      <c r="A16">
        <v>2004</v>
      </c>
      <c r="B16">
        <v>6</v>
      </c>
      <c r="C16" t="s">
        <v>694</v>
      </c>
    </row>
    <row r="17" spans="1:3" x14ac:dyDescent="0.2">
      <c r="A17">
        <v>2005</v>
      </c>
      <c r="B17">
        <v>2</v>
      </c>
      <c r="C17" t="s">
        <v>694</v>
      </c>
    </row>
    <row r="18" spans="1:3" x14ac:dyDescent="0.2">
      <c r="A18">
        <v>2006</v>
      </c>
      <c r="B18">
        <v>0</v>
      </c>
      <c r="C18" t="s">
        <v>694</v>
      </c>
    </row>
    <row r="19" spans="1:3" x14ac:dyDescent="0.2">
      <c r="A19">
        <v>2007</v>
      </c>
      <c r="B19">
        <v>1</v>
      </c>
      <c r="C19" t="s">
        <v>694</v>
      </c>
    </row>
    <row r="20" spans="1:3" x14ac:dyDescent="0.2">
      <c r="A20">
        <v>2008</v>
      </c>
      <c r="B20">
        <v>6</v>
      </c>
      <c r="C20" t="s">
        <v>694</v>
      </c>
    </row>
    <row r="21" spans="1:3" x14ac:dyDescent="0.2">
      <c r="A21">
        <v>2009</v>
      </c>
      <c r="B21">
        <v>6</v>
      </c>
      <c r="C21" t="s">
        <v>694</v>
      </c>
    </row>
    <row r="22" spans="1:3" x14ac:dyDescent="0.2">
      <c r="A22">
        <v>2010</v>
      </c>
      <c r="B22">
        <v>6</v>
      </c>
      <c r="C22" t="s">
        <v>694</v>
      </c>
    </row>
    <row r="23" spans="1:3" x14ac:dyDescent="0.2">
      <c r="A23">
        <v>2011</v>
      </c>
      <c r="B23">
        <v>5</v>
      </c>
      <c r="C23" t="s">
        <v>694</v>
      </c>
    </row>
    <row r="24" spans="1:3" x14ac:dyDescent="0.2">
      <c r="A24">
        <v>2012</v>
      </c>
      <c r="B24">
        <v>6</v>
      </c>
      <c r="C24" t="s">
        <v>694</v>
      </c>
    </row>
    <row r="25" spans="1:3" x14ac:dyDescent="0.2">
      <c r="A25">
        <v>2013</v>
      </c>
      <c r="B25">
        <v>4</v>
      </c>
      <c r="C25" t="s">
        <v>694</v>
      </c>
    </row>
    <row r="26" spans="1:3" x14ac:dyDescent="0.2">
      <c r="A26">
        <v>2014</v>
      </c>
      <c r="B26">
        <v>1</v>
      </c>
      <c r="C26" t="s">
        <v>694</v>
      </c>
    </row>
    <row r="27" spans="1:3" x14ac:dyDescent="0.2">
      <c r="A27">
        <v>2015</v>
      </c>
      <c r="B27">
        <v>8</v>
      </c>
      <c r="C27" t="s">
        <v>694</v>
      </c>
    </row>
    <row r="28" spans="1:3" x14ac:dyDescent="0.2">
      <c r="A28">
        <v>2016</v>
      </c>
      <c r="B28">
        <v>1</v>
      </c>
      <c r="C28" t="s">
        <v>694</v>
      </c>
    </row>
    <row r="29" spans="1:3" x14ac:dyDescent="0.2">
      <c r="A29">
        <v>2017</v>
      </c>
      <c r="B29">
        <v>0</v>
      </c>
      <c r="C29" t="s">
        <v>694</v>
      </c>
    </row>
    <row r="30" spans="1:3" x14ac:dyDescent="0.2">
      <c r="A30">
        <v>2018</v>
      </c>
      <c r="B30">
        <v>0</v>
      </c>
      <c r="C30" t="s">
        <v>694</v>
      </c>
    </row>
    <row r="31" spans="1:3" x14ac:dyDescent="0.2">
      <c r="A31">
        <v>2019</v>
      </c>
      <c r="B31">
        <v>2</v>
      </c>
      <c r="C31" t="s">
        <v>694</v>
      </c>
    </row>
    <row r="32" spans="1:3" x14ac:dyDescent="0.2">
      <c r="A32">
        <v>2020</v>
      </c>
      <c r="B32">
        <v>1</v>
      </c>
      <c r="C32" t="s">
        <v>694</v>
      </c>
    </row>
    <row r="33" spans="1:3" x14ac:dyDescent="0.2">
      <c r="A33">
        <v>2021</v>
      </c>
      <c r="B33">
        <v>1</v>
      </c>
      <c r="C33" t="s">
        <v>694</v>
      </c>
    </row>
    <row r="34" spans="1:3" x14ac:dyDescent="0.2">
      <c r="A34">
        <v>1990</v>
      </c>
      <c r="B34">
        <v>12</v>
      </c>
      <c r="C34" t="s">
        <v>695</v>
      </c>
    </row>
    <row r="35" spans="1:3" x14ac:dyDescent="0.2">
      <c r="A35">
        <v>1991</v>
      </c>
      <c r="B35">
        <v>380</v>
      </c>
      <c r="C35" t="s">
        <v>695</v>
      </c>
    </row>
    <row r="36" spans="1:3" x14ac:dyDescent="0.2">
      <c r="A36">
        <v>1992</v>
      </c>
      <c r="B36">
        <v>699</v>
      </c>
      <c r="C36" t="s">
        <v>695</v>
      </c>
    </row>
    <row r="37" spans="1:3" x14ac:dyDescent="0.2">
      <c r="A37">
        <v>1993</v>
      </c>
      <c r="B37">
        <v>311</v>
      </c>
      <c r="C37" t="s">
        <v>695</v>
      </c>
    </row>
    <row r="38" spans="1:3" x14ac:dyDescent="0.2">
      <c r="A38">
        <v>1994</v>
      </c>
      <c r="B38">
        <v>100</v>
      </c>
      <c r="C38" t="s">
        <v>695</v>
      </c>
    </row>
    <row r="39" spans="1:3" x14ac:dyDescent="0.2">
      <c r="A39">
        <v>1995</v>
      </c>
      <c r="B39">
        <v>45</v>
      </c>
      <c r="C39" t="s">
        <v>695</v>
      </c>
    </row>
    <row r="40" spans="1:3" x14ac:dyDescent="0.2">
      <c r="A40">
        <v>1996</v>
      </c>
      <c r="B40">
        <v>33</v>
      </c>
      <c r="C40" t="s">
        <v>695</v>
      </c>
    </row>
    <row r="41" spans="1:3" x14ac:dyDescent="0.2">
      <c r="A41">
        <v>1997</v>
      </c>
      <c r="B41">
        <v>37</v>
      </c>
      <c r="C41" t="s">
        <v>695</v>
      </c>
    </row>
    <row r="42" spans="1:3" x14ac:dyDescent="0.2">
      <c r="A42">
        <v>1998</v>
      </c>
      <c r="B42">
        <v>39</v>
      </c>
      <c r="C42" t="s">
        <v>695</v>
      </c>
    </row>
    <row r="43" spans="1:3" x14ac:dyDescent="0.2">
      <c r="A43">
        <v>1999</v>
      </c>
      <c r="B43">
        <v>35</v>
      </c>
      <c r="C43" t="s">
        <v>695</v>
      </c>
    </row>
    <row r="44" spans="1:3" x14ac:dyDescent="0.2">
      <c r="A44">
        <v>2000</v>
      </c>
      <c r="B44">
        <v>41</v>
      </c>
      <c r="C44" t="s">
        <v>695</v>
      </c>
    </row>
    <row r="45" spans="1:3" x14ac:dyDescent="0.2">
      <c r="A45">
        <v>2001</v>
      </c>
      <c r="B45">
        <v>16</v>
      </c>
      <c r="C45" t="s">
        <v>695</v>
      </c>
    </row>
    <row r="46" spans="1:3" x14ac:dyDescent="0.2">
      <c r="A46">
        <v>2002</v>
      </c>
      <c r="B46">
        <v>26</v>
      </c>
      <c r="C46" t="s">
        <v>695</v>
      </c>
    </row>
    <row r="47" spans="1:3" x14ac:dyDescent="0.2">
      <c r="A47">
        <v>2003</v>
      </c>
      <c r="B47">
        <v>24</v>
      </c>
      <c r="C47" t="s">
        <v>695</v>
      </c>
    </row>
    <row r="48" spans="1:3" x14ac:dyDescent="0.2">
      <c r="A48">
        <v>2004</v>
      </c>
      <c r="B48">
        <v>37</v>
      </c>
      <c r="C48" t="s">
        <v>695</v>
      </c>
    </row>
    <row r="49" spans="1:3" x14ac:dyDescent="0.2">
      <c r="A49">
        <v>2005</v>
      </c>
      <c r="B49">
        <v>14</v>
      </c>
      <c r="C49" t="s">
        <v>695</v>
      </c>
    </row>
    <row r="50" spans="1:3" x14ac:dyDescent="0.2">
      <c r="A50">
        <v>2006</v>
      </c>
      <c r="B50">
        <v>18</v>
      </c>
      <c r="C50" t="s">
        <v>695</v>
      </c>
    </row>
    <row r="51" spans="1:3" x14ac:dyDescent="0.2">
      <c r="A51">
        <v>2007</v>
      </c>
      <c r="B51">
        <v>24</v>
      </c>
      <c r="C51" t="s">
        <v>695</v>
      </c>
    </row>
    <row r="52" spans="1:3" x14ac:dyDescent="0.2">
      <c r="A52">
        <v>2008</v>
      </c>
      <c r="B52">
        <v>29</v>
      </c>
      <c r="C52" t="s">
        <v>695</v>
      </c>
    </row>
    <row r="53" spans="1:3" x14ac:dyDescent="0.2">
      <c r="A53">
        <v>2009</v>
      </c>
      <c r="B53">
        <v>18</v>
      </c>
      <c r="C53" t="s">
        <v>695</v>
      </c>
    </row>
    <row r="54" spans="1:3" x14ac:dyDescent="0.2">
      <c r="A54">
        <v>2010</v>
      </c>
      <c r="B54">
        <v>29</v>
      </c>
      <c r="C54" t="s">
        <v>695</v>
      </c>
    </row>
    <row r="55" spans="1:3" x14ac:dyDescent="0.2">
      <c r="A55">
        <v>2011</v>
      </c>
      <c r="B55">
        <v>20</v>
      </c>
      <c r="C55" t="s">
        <v>695</v>
      </c>
    </row>
    <row r="56" spans="1:3" x14ac:dyDescent="0.2">
      <c r="A56">
        <v>2012</v>
      </c>
      <c r="B56">
        <v>21</v>
      </c>
      <c r="C56" t="s">
        <v>695</v>
      </c>
    </row>
    <row r="57" spans="1:3" x14ac:dyDescent="0.2">
      <c r="A57">
        <v>2013</v>
      </c>
      <c r="B57">
        <v>11</v>
      </c>
      <c r="C57" t="s">
        <v>695</v>
      </c>
    </row>
    <row r="58" spans="1:3" x14ac:dyDescent="0.2">
      <c r="A58">
        <v>2014</v>
      </c>
      <c r="B58">
        <v>21</v>
      </c>
      <c r="C58" t="s">
        <v>695</v>
      </c>
    </row>
    <row r="59" spans="1:3" x14ac:dyDescent="0.2">
      <c r="A59">
        <v>2015</v>
      </c>
      <c r="B59">
        <v>99</v>
      </c>
      <c r="C59" t="s">
        <v>695</v>
      </c>
    </row>
    <row r="60" spans="1:3" x14ac:dyDescent="0.2">
      <c r="A60">
        <v>2016</v>
      </c>
      <c r="B60">
        <v>113</v>
      </c>
      <c r="C60" t="s">
        <v>695</v>
      </c>
    </row>
    <row r="61" spans="1:3" x14ac:dyDescent="0.2">
      <c r="A61">
        <v>2017</v>
      </c>
      <c r="B61">
        <v>42</v>
      </c>
      <c r="C61" t="s">
        <v>695</v>
      </c>
    </row>
    <row r="62" spans="1:3" x14ac:dyDescent="0.2">
      <c r="A62">
        <v>2018</v>
      </c>
      <c r="B62">
        <v>11</v>
      </c>
      <c r="C62" t="s">
        <v>695</v>
      </c>
    </row>
    <row r="63" spans="1:3" x14ac:dyDescent="0.2">
      <c r="A63">
        <v>2019</v>
      </c>
      <c r="B63">
        <v>6</v>
      </c>
      <c r="C63" t="s">
        <v>695</v>
      </c>
    </row>
    <row r="64" spans="1:3" x14ac:dyDescent="0.2">
      <c r="A64">
        <v>2020</v>
      </c>
      <c r="B64">
        <v>25</v>
      </c>
      <c r="C64" t="s">
        <v>695</v>
      </c>
    </row>
    <row r="65" spans="1:3" x14ac:dyDescent="0.2">
      <c r="A65">
        <v>2021</v>
      </c>
      <c r="B65">
        <v>11</v>
      </c>
      <c r="C65" t="s">
        <v>695</v>
      </c>
    </row>
    <row r="66" spans="1:3" x14ac:dyDescent="0.2">
      <c r="A66">
        <v>1990</v>
      </c>
      <c r="B66">
        <v>51</v>
      </c>
      <c r="C66" t="s">
        <v>696</v>
      </c>
    </row>
    <row r="67" spans="1:3" x14ac:dyDescent="0.2">
      <c r="A67">
        <v>1991</v>
      </c>
      <c r="B67">
        <v>449</v>
      </c>
      <c r="C67" t="s">
        <v>696</v>
      </c>
    </row>
    <row r="68" spans="1:3" x14ac:dyDescent="0.2">
      <c r="A68">
        <v>1992</v>
      </c>
      <c r="B68">
        <v>758</v>
      </c>
      <c r="C68" t="s">
        <v>696</v>
      </c>
    </row>
    <row r="69" spans="1:3" x14ac:dyDescent="0.2">
      <c r="A69">
        <v>1993</v>
      </c>
      <c r="B69">
        <v>899</v>
      </c>
      <c r="C69" t="s">
        <v>696</v>
      </c>
    </row>
    <row r="70" spans="1:3" x14ac:dyDescent="0.2">
      <c r="A70">
        <v>1994</v>
      </c>
      <c r="B70">
        <v>625</v>
      </c>
      <c r="C70" t="s">
        <v>696</v>
      </c>
    </row>
    <row r="71" spans="1:3" x14ac:dyDescent="0.2">
      <c r="A71">
        <v>1995</v>
      </c>
      <c r="B71">
        <v>509</v>
      </c>
      <c r="C71" t="s">
        <v>696</v>
      </c>
    </row>
    <row r="72" spans="1:3" x14ac:dyDescent="0.2">
      <c r="A72">
        <v>1996</v>
      </c>
      <c r="B72">
        <v>507</v>
      </c>
      <c r="C72" t="s">
        <v>696</v>
      </c>
    </row>
    <row r="73" spans="1:3" x14ac:dyDescent="0.2">
      <c r="A73">
        <v>1997</v>
      </c>
      <c r="B73">
        <v>677</v>
      </c>
      <c r="C73" t="s">
        <v>696</v>
      </c>
    </row>
    <row r="74" spans="1:3" x14ac:dyDescent="0.2">
      <c r="A74">
        <v>1998</v>
      </c>
      <c r="B74">
        <v>595</v>
      </c>
      <c r="C74" t="s">
        <v>696</v>
      </c>
    </row>
    <row r="75" spans="1:3" x14ac:dyDescent="0.2">
      <c r="A75">
        <v>1999</v>
      </c>
      <c r="B75">
        <v>630</v>
      </c>
      <c r="C75" t="s">
        <v>696</v>
      </c>
    </row>
    <row r="76" spans="1:3" x14ac:dyDescent="0.2">
      <c r="A76">
        <v>2000</v>
      </c>
      <c r="B76">
        <v>874</v>
      </c>
      <c r="C76" t="s">
        <v>696</v>
      </c>
    </row>
    <row r="77" spans="1:3" x14ac:dyDescent="0.2">
      <c r="A77">
        <v>2001</v>
      </c>
      <c r="B77">
        <v>626</v>
      </c>
      <c r="C77" t="s">
        <v>696</v>
      </c>
    </row>
    <row r="78" spans="1:3" x14ac:dyDescent="0.2">
      <c r="A78">
        <v>2002</v>
      </c>
      <c r="B78">
        <v>646</v>
      </c>
      <c r="C78" t="s">
        <v>696</v>
      </c>
    </row>
    <row r="79" spans="1:3" x14ac:dyDescent="0.2">
      <c r="A79">
        <v>2003</v>
      </c>
      <c r="B79">
        <v>637</v>
      </c>
      <c r="C79" t="s">
        <v>696</v>
      </c>
    </row>
    <row r="80" spans="1:3" x14ac:dyDescent="0.2">
      <c r="A80">
        <v>2004</v>
      </c>
      <c r="B80">
        <v>640</v>
      </c>
      <c r="C80" t="s">
        <v>696</v>
      </c>
    </row>
    <row r="81" spans="1:3" x14ac:dyDescent="0.2">
      <c r="A81">
        <v>2005</v>
      </c>
      <c r="B81">
        <v>816</v>
      </c>
      <c r="C81" t="s">
        <v>696</v>
      </c>
    </row>
    <row r="82" spans="1:3" x14ac:dyDescent="0.2">
      <c r="A82">
        <v>2006</v>
      </c>
      <c r="B82">
        <v>919</v>
      </c>
      <c r="C82" t="s">
        <v>696</v>
      </c>
    </row>
    <row r="83" spans="1:3" x14ac:dyDescent="0.2">
      <c r="A83">
        <v>2007</v>
      </c>
      <c r="B83">
        <v>845</v>
      </c>
      <c r="C83" t="s">
        <v>696</v>
      </c>
    </row>
    <row r="84" spans="1:3" x14ac:dyDescent="0.2">
      <c r="A84">
        <v>2008</v>
      </c>
      <c r="B84">
        <v>893</v>
      </c>
      <c r="C84" t="s">
        <v>696</v>
      </c>
    </row>
    <row r="85" spans="1:3" x14ac:dyDescent="0.2">
      <c r="A85">
        <v>2009</v>
      </c>
      <c r="B85">
        <v>738</v>
      </c>
      <c r="C85" t="s">
        <v>696</v>
      </c>
    </row>
    <row r="86" spans="1:3" x14ac:dyDescent="0.2">
      <c r="A86">
        <v>2010</v>
      </c>
      <c r="B86">
        <v>638</v>
      </c>
      <c r="C86" t="s">
        <v>696</v>
      </c>
    </row>
    <row r="87" spans="1:3" x14ac:dyDescent="0.2">
      <c r="A87">
        <v>2011</v>
      </c>
      <c r="B87">
        <v>640</v>
      </c>
      <c r="C87" t="s">
        <v>696</v>
      </c>
    </row>
    <row r="88" spans="1:3" x14ac:dyDescent="0.2">
      <c r="A88">
        <v>2012</v>
      </c>
      <c r="B88">
        <v>690</v>
      </c>
      <c r="C88" t="s">
        <v>696</v>
      </c>
    </row>
    <row r="89" spans="1:3" x14ac:dyDescent="0.2">
      <c r="A89">
        <v>2013</v>
      </c>
      <c r="B89">
        <v>704</v>
      </c>
      <c r="C89" t="s">
        <v>696</v>
      </c>
    </row>
    <row r="90" spans="1:3" x14ac:dyDescent="0.2">
      <c r="A90">
        <v>2014</v>
      </c>
      <c r="B90">
        <v>871</v>
      </c>
      <c r="C90" t="s">
        <v>696</v>
      </c>
    </row>
    <row r="91" spans="1:3" x14ac:dyDescent="0.2">
      <c r="A91">
        <v>2015</v>
      </c>
      <c r="B91">
        <v>1116</v>
      </c>
      <c r="C91" t="s">
        <v>696</v>
      </c>
    </row>
    <row r="92" spans="1:3" x14ac:dyDescent="0.2">
      <c r="A92">
        <v>2016</v>
      </c>
      <c r="B92">
        <v>1313</v>
      </c>
      <c r="C92" t="s">
        <v>696</v>
      </c>
    </row>
    <row r="93" spans="1:3" x14ac:dyDescent="0.2">
      <c r="A93">
        <v>2017</v>
      </c>
      <c r="B93">
        <v>904</v>
      </c>
      <c r="C93" t="s">
        <v>696</v>
      </c>
    </row>
    <row r="94" spans="1:3" x14ac:dyDescent="0.2">
      <c r="A94">
        <v>2018</v>
      </c>
      <c r="B94">
        <v>938</v>
      </c>
      <c r="C94" t="s">
        <v>696</v>
      </c>
    </row>
    <row r="95" spans="1:3" x14ac:dyDescent="0.2">
      <c r="A95">
        <v>2019</v>
      </c>
      <c r="B95">
        <v>781</v>
      </c>
      <c r="C95" t="s">
        <v>696</v>
      </c>
    </row>
    <row r="96" spans="1:3" x14ac:dyDescent="0.2">
      <c r="A96">
        <v>2020</v>
      </c>
      <c r="B96">
        <v>842</v>
      </c>
      <c r="C96" t="s">
        <v>696</v>
      </c>
    </row>
    <row r="97" spans="1:3" x14ac:dyDescent="0.2">
      <c r="A97">
        <v>2021</v>
      </c>
      <c r="B97">
        <v>783</v>
      </c>
      <c r="C97" t="s">
        <v>696</v>
      </c>
    </row>
    <row r="98" spans="1:3" x14ac:dyDescent="0.2">
      <c r="A98">
        <v>1990</v>
      </c>
      <c r="B98">
        <v>63</v>
      </c>
      <c r="C98" t="s">
        <v>697</v>
      </c>
    </row>
    <row r="99" spans="1:3" x14ac:dyDescent="0.2">
      <c r="A99">
        <v>1991</v>
      </c>
      <c r="B99">
        <v>648</v>
      </c>
      <c r="C99" t="s">
        <v>697</v>
      </c>
    </row>
    <row r="100" spans="1:3" x14ac:dyDescent="0.2">
      <c r="A100">
        <v>1992</v>
      </c>
      <c r="B100">
        <v>1152</v>
      </c>
      <c r="C100" t="s">
        <v>697</v>
      </c>
    </row>
    <row r="101" spans="1:3" x14ac:dyDescent="0.2">
      <c r="A101">
        <v>1993</v>
      </c>
      <c r="B101">
        <v>903</v>
      </c>
      <c r="C101" t="s">
        <v>697</v>
      </c>
    </row>
    <row r="102" spans="1:3" x14ac:dyDescent="0.2">
      <c r="A102">
        <v>1994</v>
      </c>
      <c r="B102">
        <v>704</v>
      </c>
      <c r="C102" t="s">
        <v>697</v>
      </c>
    </row>
    <row r="103" spans="1:3" x14ac:dyDescent="0.2">
      <c r="A103">
        <v>1995</v>
      </c>
      <c r="B103">
        <v>225</v>
      </c>
      <c r="C103" t="s">
        <v>697</v>
      </c>
    </row>
    <row r="104" spans="1:3" x14ac:dyDescent="0.2">
      <c r="A104">
        <v>1996</v>
      </c>
      <c r="B104">
        <v>157</v>
      </c>
      <c r="C104" t="s">
        <v>697</v>
      </c>
    </row>
    <row r="105" spans="1:3" x14ac:dyDescent="0.2">
      <c r="A105">
        <v>1997</v>
      </c>
      <c r="B105">
        <v>301</v>
      </c>
      <c r="C105" t="s">
        <v>697</v>
      </c>
    </row>
    <row r="106" spans="1:3" x14ac:dyDescent="0.2">
      <c r="A106">
        <v>1998</v>
      </c>
      <c r="B106">
        <v>516</v>
      </c>
      <c r="C106" t="s">
        <v>697</v>
      </c>
    </row>
    <row r="107" spans="1:3" x14ac:dyDescent="0.2">
      <c r="A107">
        <v>1999</v>
      </c>
      <c r="B107">
        <v>373</v>
      </c>
      <c r="C107" t="s">
        <v>697</v>
      </c>
    </row>
    <row r="108" spans="1:3" x14ac:dyDescent="0.2">
      <c r="A108">
        <v>2000</v>
      </c>
      <c r="B108">
        <v>704</v>
      </c>
      <c r="C108" t="s">
        <v>697</v>
      </c>
    </row>
    <row r="109" spans="1:3" x14ac:dyDescent="0.2">
      <c r="A109">
        <v>2001</v>
      </c>
      <c r="B109">
        <v>251</v>
      </c>
      <c r="C109" t="s">
        <v>697</v>
      </c>
    </row>
    <row r="110" spans="1:3" x14ac:dyDescent="0.2">
      <c r="A110">
        <v>2002</v>
      </c>
      <c r="B110">
        <v>178</v>
      </c>
      <c r="C110" t="s">
        <v>697</v>
      </c>
    </row>
    <row r="111" spans="1:3" x14ac:dyDescent="0.2">
      <c r="A111">
        <v>2003</v>
      </c>
      <c r="B111">
        <v>225</v>
      </c>
      <c r="C111" t="s">
        <v>697</v>
      </c>
    </row>
    <row r="112" spans="1:3" x14ac:dyDescent="0.2">
      <c r="A112">
        <v>2004</v>
      </c>
      <c r="B112">
        <v>243</v>
      </c>
      <c r="C112" t="s">
        <v>697</v>
      </c>
    </row>
    <row r="113" spans="1:3" x14ac:dyDescent="0.2">
      <c r="A113">
        <v>2005</v>
      </c>
      <c r="B113">
        <v>445</v>
      </c>
      <c r="C113" t="s">
        <v>697</v>
      </c>
    </row>
    <row r="114" spans="1:3" x14ac:dyDescent="0.2">
      <c r="A114">
        <v>2006</v>
      </c>
      <c r="B114">
        <v>391</v>
      </c>
      <c r="C114" t="s">
        <v>697</v>
      </c>
    </row>
    <row r="115" spans="1:3" x14ac:dyDescent="0.2">
      <c r="A115">
        <v>2007</v>
      </c>
      <c r="B115">
        <v>821</v>
      </c>
      <c r="C115" t="s">
        <v>697</v>
      </c>
    </row>
    <row r="116" spans="1:3" x14ac:dyDescent="0.2">
      <c r="A116">
        <v>2008</v>
      </c>
      <c r="B116">
        <v>1197</v>
      </c>
      <c r="C116" t="s">
        <v>697</v>
      </c>
    </row>
    <row r="117" spans="1:3" x14ac:dyDescent="0.2">
      <c r="A117">
        <v>2009</v>
      </c>
      <c r="B117">
        <v>1453</v>
      </c>
      <c r="C117" t="s">
        <v>697</v>
      </c>
    </row>
    <row r="118" spans="1:3" x14ac:dyDescent="0.2">
      <c r="A118">
        <v>2010</v>
      </c>
      <c r="B118">
        <v>1335</v>
      </c>
      <c r="C118" t="s">
        <v>697</v>
      </c>
    </row>
    <row r="119" spans="1:3" x14ac:dyDescent="0.2">
      <c r="A119">
        <v>2011</v>
      </c>
      <c r="B119">
        <v>1377</v>
      </c>
      <c r="C119" t="s">
        <v>697</v>
      </c>
    </row>
    <row r="120" spans="1:3" x14ac:dyDescent="0.2">
      <c r="A120">
        <v>2012</v>
      </c>
      <c r="B120">
        <v>1151</v>
      </c>
      <c r="C120" t="s">
        <v>697</v>
      </c>
    </row>
    <row r="121" spans="1:3" x14ac:dyDescent="0.2">
      <c r="A121">
        <v>2013</v>
      </c>
      <c r="B121">
        <v>1016</v>
      </c>
      <c r="C121" t="s">
        <v>697</v>
      </c>
    </row>
    <row r="122" spans="1:3" x14ac:dyDescent="0.2">
      <c r="A122">
        <v>2014</v>
      </c>
      <c r="B122">
        <v>819</v>
      </c>
      <c r="C122" t="s">
        <v>697</v>
      </c>
    </row>
    <row r="123" spans="1:3" x14ac:dyDescent="0.2">
      <c r="A123">
        <v>2015</v>
      </c>
      <c r="B123">
        <v>1243</v>
      </c>
      <c r="C123" t="s">
        <v>697</v>
      </c>
    </row>
    <row r="124" spans="1:3" x14ac:dyDescent="0.2">
      <c r="A124">
        <v>2016</v>
      </c>
      <c r="B124">
        <v>1501</v>
      </c>
      <c r="C124" t="s">
        <v>697</v>
      </c>
    </row>
    <row r="125" spans="1:3" x14ac:dyDescent="0.2">
      <c r="A125">
        <v>2017</v>
      </c>
      <c r="B125">
        <v>1317</v>
      </c>
      <c r="C125" t="s">
        <v>697</v>
      </c>
    </row>
    <row r="126" spans="1:3" x14ac:dyDescent="0.2">
      <c r="A126">
        <v>2018</v>
      </c>
      <c r="B126">
        <v>905</v>
      </c>
      <c r="C126" t="s">
        <v>697</v>
      </c>
    </row>
    <row r="127" spans="1:3" x14ac:dyDescent="0.2">
      <c r="A127">
        <v>2019</v>
      </c>
      <c r="B127">
        <v>923</v>
      </c>
      <c r="C127" t="s">
        <v>697</v>
      </c>
    </row>
    <row r="128" spans="1:3" x14ac:dyDescent="0.2">
      <c r="A128">
        <v>2020</v>
      </c>
      <c r="B128">
        <v>880</v>
      </c>
      <c r="C128" t="s">
        <v>697</v>
      </c>
    </row>
    <row r="129" spans="1:3" x14ac:dyDescent="0.2">
      <c r="A129">
        <v>2021</v>
      </c>
      <c r="B129">
        <v>923</v>
      </c>
      <c r="C129" t="s">
        <v>697</v>
      </c>
    </row>
    <row r="130" spans="1:3" x14ac:dyDescent="0.2">
      <c r="A130">
        <v>1990</v>
      </c>
      <c r="B130">
        <v>40</v>
      </c>
      <c r="C130" t="s">
        <v>698</v>
      </c>
    </row>
    <row r="131" spans="1:3" x14ac:dyDescent="0.2">
      <c r="A131">
        <v>1991</v>
      </c>
      <c r="B131">
        <v>351</v>
      </c>
      <c r="C131" t="s">
        <v>698</v>
      </c>
    </row>
    <row r="132" spans="1:3" x14ac:dyDescent="0.2">
      <c r="A132">
        <v>1992</v>
      </c>
      <c r="B132">
        <v>1354</v>
      </c>
      <c r="C132" t="s">
        <v>698</v>
      </c>
    </row>
    <row r="133" spans="1:3" x14ac:dyDescent="0.2">
      <c r="A133">
        <v>1993</v>
      </c>
      <c r="B133">
        <v>1699</v>
      </c>
      <c r="C133" t="s">
        <v>698</v>
      </c>
    </row>
    <row r="134" spans="1:3" x14ac:dyDescent="0.2">
      <c r="A134">
        <v>1994</v>
      </c>
      <c r="B134">
        <v>801</v>
      </c>
      <c r="C134" t="s">
        <v>698</v>
      </c>
    </row>
    <row r="135" spans="1:3" x14ac:dyDescent="0.2">
      <c r="A135">
        <v>1995</v>
      </c>
      <c r="B135">
        <v>504</v>
      </c>
      <c r="C135" t="s">
        <v>698</v>
      </c>
    </row>
    <row r="136" spans="1:3" x14ac:dyDescent="0.2">
      <c r="A136">
        <v>1996</v>
      </c>
      <c r="B136">
        <v>364</v>
      </c>
      <c r="C136" t="s">
        <v>698</v>
      </c>
    </row>
    <row r="137" spans="1:3" x14ac:dyDescent="0.2">
      <c r="A137">
        <v>1997</v>
      </c>
      <c r="B137">
        <v>371</v>
      </c>
      <c r="C137" t="s">
        <v>698</v>
      </c>
    </row>
    <row r="138" spans="1:3" x14ac:dyDescent="0.2">
      <c r="A138">
        <v>1998</v>
      </c>
      <c r="B138">
        <v>276</v>
      </c>
      <c r="C138" t="s">
        <v>698</v>
      </c>
    </row>
    <row r="139" spans="1:3" x14ac:dyDescent="0.2">
      <c r="A139">
        <v>1999</v>
      </c>
      <c r="B139">
        <v>220</v>
      </c>
      <c r="C139" t="s">
        <v>698</v>
      </c>
    </row>
    <row r="140" spans="1:3" x14ac:dyDescent="0.2">
      <c r="A140">
        <v>2000</v>
      </c>
      <c r="B140">
        <v>320</v>
      </c>
      <c r="C140" t="s">
        <v>698</v>
      </c>
    </row>
    <row r="141" spans="1:3" x14ac:dyDescent="0.2">
      <c r="A141">
        <v>2001</v>
      </c>
      <c r="B141">
        <v>190</v>
      </c>
      <c r="C141" t="s">
        <v>698</v>
      </c>
    </row>
    <row r="142" spans="1:3" x14ac:dyDescent="0.2">
      <c r="A142">
        <v>2002</v>
      </c>
      <c r="B142">
        <v>115</v>
      </c>
      <c r="C142" t="s">
        <v>698</v>
      </c>
    </row>
    <row r="143" spans="1:3" x14ac:dyDescent="0.2">
      <c r="A143">
        <v>2003</v>
      </c>
      <c r="B143">
        <v>93</v>
      </c>
      <c r="C143" t="s">
        <v>698</v>
      </c>
    </row>
    <row r="144" spans="1:3" x14ac:dyDescent="0.2">
      <c r="A144">
        <v>2004</v>
      </c>
      <c r="B144">
        <v>97</v>
      </c>
      <c r="C144" t="s">
        <v>698</v>
      </c>
    </row>
    <row r="145" spans="1:3" x14ac:dyDescent="0.2">
      <c r="A145">
        <v>2005</v>
      </c>
      <c r="B145">
        <v>90</v>
      </c>
      <c r="C145" t="s">
        <v>698</v>
      </c>
    </row>
    <row r="146" spans="1:3" x14ac:dyDescent="0.2">
      <c r="A146">
        <v>2006</v>
      </c>
      <c r="B146">
        <v>150</v>
      </c>
      <c r="C146" t="s">
        <v>698</v>
      </c>
    </row>
    <row r="147" spans="1:3" x14ac:dyDescent="0.2">
      <c r="A147">
        <v>2007</v>
      </c>
      <c r="B147">
        <v>146</v>
      </c>
      <c r="C147" t="s">
        <v>698</v>
      </c>
    </row>
    <row r="148" spans="1:3" x14ac:dyDescent="0.2">
      <c r="A148">
        <v>2008</v>
      </c>
      <c r="B148">
        <v>144</v>
      </c>
      <c r="C148" t="s">
        <v>698</v>
      </c>
    </row>
    <row r="149" spans="1:3" x14ac:dyDescent="0.2">
      <c r="A149">
        <v>2009</v>
      </c>
      <c r="B149">
        <v>146</v>
      </c>
      <c r="C149" t="s">
        <v>698</v>
      </c>
    </row>
    <row r="150" spans="1:3" x14ac:dyDescent="0.2">
      <c r="A150">
        <v>2010</v>
      </c>
      <c r="B150">
        <v>127</v>
      </c>
      <c r="C150" t="s">
        <v>698</v>
      </c>
    </row>
    <row r="151" spans="1:3" x14ac:dyDescent="0.2">
      <c r="A151">
        <v>2011</v>
      </c>
      <c r="B151">
        <v>128</v>
      </c>
      <c r="C151" t="s">
        <v>698</v>
      </c>
    </row>
    <row r="152" spans="1:3" x14ac:dyDescent="0.2">
      <c r="A152">
        <v>2012</v>
      </c>
      <c r="B152">
        <v>153</v>
      </c>
      <c r="C152" t="s">
        <v>698</v>
      </c>
    </row>
    <row r="153" spans="1:3" x14ac:dyDescent="0.2">
      <c r="A153">
        <v>2013</v>
      </c>
      <c r="B153">
        <v>152</v>
      </c>
      <c r="C153" t="s">
        <v>698</v>
      </c>
    </row>
    <row r="154" spans="1:3" x14ac:dyDescent="0.2">
      <c r="A154">
        <v>2014</v>
      </c>
      <c r="B154">
        <v>209</v>
      </c>
      <c r="C154" t="s">
        <v>698</v>
      </c>
    </row>
    <row r="155" spans="1:3" x14ac:dyDescent="0.2">
      <c r="A155">
        <v>2015</v>
      </c>
      <c r="B155">
        <v>443</v>
      </c>
      <c r="C155" t="s">
        <v>698</v>
      </c>
    </row>
    <row r="156" spans="1:3" x14ac:dyDescent="0.2">
      <c r="A156">
        <v>2016</v>
      </c>
      <c r="B156">
        <v>451</v>
      </c>
      <c r="C156" t="s">
        <v>698</v>
      </c>
    </row>
    <row r="157" spans="1:3" x14ac:dyDescent="0.2">
      <c r="A157">
        <v>2017</v>
      </c>
      <c r="B157">
        <v>336</v>
      </c>
      <c r="C157" t="s">
        <v>698</v>
      </c>
    </row>
    <row r="158" spans="1:3" x14ac:dyDescent="0.2">
      <c r="A158">
        <v>2018</v>
      </c>
      <c r="B158">
        <v>352</v>
      </c>
      <c r="C158" t="s">
        <v>698</v>
      </c>
    </row>
    <row r="159" spans="1:3" x14ac:dyDescent="0.2">
      <c r="A159">
        <v>2019</v>
      </c>
      <c r="B159">
        <v>376</v>
      </c>
      <c r="C159" t="s">
        <v>698</v>
      </c>
    </row>
    <row r="160" spans="1:3" x14ac:dyDescent="0.2">
      <c r="A160">
        <v>2020</v>
      </c>
      <c r="B160">
        <v>478</v>
      </c>
      <c r="C160" t="s">
        <v>698</v>
      </c>
    </row>
    <row r="161" spans="1:3" x14ac:dyDescent="0.2">
      <c r="A161">
        <v>2021</v>
      </c>
      <c r="B161">
        <v>425</v>
      </c>
      <c r="C161" t="s">
        <v>698</v>
      </c>
    </row>
    <row r="162" spans="1:3" x14ac:dyDescent="0.2">
      <c r="A162">
        <v>1990</v>
      </c>
      <c r="B162">
        <v>181</v>
      </c>
      <c r="C162" t="s">
        <v>699</v>
      </c>
    </row>
    <row r="163" spans="1:3" x14ac:dyDescent="0.2">
      <c r="A163">
        <v>1991</v>
      </c>
      <c r="B163">
        <v>426</v>
      </c>
      <c r="C163" t="s">
        <v>699</v>
      </c>
    </row>
    <row r="164" spans="1:3" x14ac:dyDescent="0.2">
      <c r="A164">
        <v>1992</v>
      </c>
      <c r="B164">
        <v>566</v>
      </c>
      <c r="C164" t="s">
        <v>699</v>
      </c>
    </row>
    <row r="165" spans="1:3" x14ac:dyDescent="0.2">
      <c r="A165">
        <v>1993</v>
      </c>
      <c r="B165">
        <v>2756</v>
      </c>
      <c r="C165" t="s">
        <v>699</v>
      </c>
    </row>
    <row r="166" spans="1:3" x14ac:dyDescent="0.2">
      <c r="A166">
        <v>1994</v>
      </c>
      <c r="B166">
        <v>2467</v>
      </c>
      <c r="C166" t="s">
        <v>699</v>
      </c>
    </row>
    <row r="167" spans="1:3" x14ac:dyDescent="0.2">
      <c r="A167">
        <v>1995</v>
      </c>
      <c r="B167">
        <v>2212</v>
      </c>
      <c r="C167" t="s">
        <v>699</v>
      </c>
    </row>
    <row r="168" spans="1:3" x14ac:dyDescent="0.2">
      <c r="A168">
        <v>1996</v>
      </c>
      <c r="B168">
        <v>1950</v>
      </c>
      <c r="C168" t="s">
        <v>699</v>
      </c>
    </row>
    <row r="169" spans="1:3" x14ac:dyDescent="0.2">
      <c r="A169">
        <v>1997</v>
      </c>
      <c r="B169">
        <v>2369</v>
      </c>
      <c r="C169" t="s">
        <v>699</v>
      </c>
    </row>
    <row r="170" spans="1:3" x14ac:dyDescent="0.2">
      <c r="A170">
        <v>1998</v>
      </c>
      <c r="B170">
        <v>2591</v>
      </c>
      <c r="C170" t="s">
        <v>699</v>
      </c>
    </row>
    <row r="171" spans="1:3" x14ac:dyDescent="0.2">
      <c r="A171">
        <v>1999</v>
      </c>
      <c r="B171">
        <v>1979</v>
      </c>
      <c r="C171" t="s">
        <v>699</v>
      </c>
    </row>
    <row r="172" spans="1:3" x14ac:dyDescent="0.2">
      <c r="A172">
        <v>2000</v>
      </c>
      <c r="B172">
        <v>3438</v>
      </c>
      <c r="C172" t="s">
        <v>699</v>
      </c>
    </row>
    <row r="173" spans="1:3" x14ac:dyDescent="0.2">
      <c r="A173">
        <v>2001</v>
      </c>
      <c r="B173">
        <v>2538</v>
      </c>
      <c r="C173" t="s">
        <v>699</v>
      </c>
    </row>
    <row r="174" spans="1:3" x14ac:dyDescent="0.2">
      <c r="A174">
        <v>2002</v>
      </c>
      <c r="B174">
        <v>2513</v>
      </c>
      <c r="C174" t="s">
        <v>699</v>
      </c>
    </row>
    <row r="175" spans="1:3" x14ac:dyDescent="0.2">
      <c r="A175">
        <v>2003</v>
      </c>
      <c r="B175">
        <v>2138</v>
      </c>
      <c r="C175" t="s">
        <v>699</v>
      </c>
    </row>
    <row r="176" spans="1:3" x14ac:dyDescent="0.2">
      <c r="A176">
        <v>2004</v>
      </c>
      <c r="B176">
        <v>2578</v>
      </c>
      <c r="C176" t="s">
        <v>699</v>
      </c>
    </row>
    <row r="177" spans="1:3" x14ac:dyDescent="0.2">
      <c r="A177">
        <v>2005</v>
      </c>
      <c r="B177">
        <v>2957</v>
      </c>
      <c r="C177" t="s">
        <v>699</v>
      </c>
    </row>
    <row r="178" spans="1:3" x14ac:dyDescent="0.2">
      <c r="A178">
        <v>2006</v>
      </c>
      <c r="B178">
        <v>3368</v>
      </c>
      <c r="C178" t="s">
        <v>699</v>
      </c>
    </row>
    <row r="179" spans="1:3" x14ac:dyDescent="0.2">
      <c r="A179">
        <v>2007</v>
      </c>
      <c r="B179">
        <v>3276</v>
      </c>
      <c r="C179" t="s">
        <v>699</v>
      </c>
    </row>
    <row r="180" spans="1:3" x14ac:dyDescent="0.2">
      <c r="A180">
        <v>2008</v>
      </c>
      <c r="B180">
        <v>3217</v>
      </c>
      <c r="C180" t="s">
        <v>699</v>
      </c>
    </row>
    <row r="181" spans="1:3" x14ac:dyDescent="0.2">
      <c r="A181">
        <v>2009</v>
      </c>
      <c r="B181">
        <v>2956</v>
      </c>
      <c r="C181" t="s">
        <v>699</v>
      </c>
    </row>
    <row r="182" spans="1:3" x14ac:dyDescent="0.2">
      <c r="A182">
        <v>2010</v>
      </c>
      <c r="B182">
        <v>2279</v>
      </c>
      <c r="C182" t="s">
        <v>699</v>
      </c>
    </row>
    <row r="183" spans="1:3" x14ac:dyDescent="0.2">
      <c r="A183">
        <v>2011</v>
      </c>
      <c r="B183">
        <v>2464</v>
      </c>
      <c r="C183" t="s">
        <v>699</v>
      </c>
    </row>
    <row r="184" spans="1:3" x14ac:dyDescent="0.2">
      <c r="A184">
        <v>2012</v>
      </c>
      <c r="B184">
        <v>2798</v>
      </c>
      <c r="C184" t="s">
        <v>699</v>
      </c>
    </row>
    <row r="185" spans="1:3" x14ac:dyDescent="0.2">
      <c r="A185">
        <v>2013</v>
      </c>
      <c r="B185">
        <v>2931</v>
      </c>
      <c r="C185" t="s">
        <v>699</v>
      </c>
    </row>
    <row r="186" spans="1:3" x14ac:dyDescent="0.2">
      <c r="A186">
        <v>2014</v>
      </c>
      <c r="B186">
        <v>3474</v>
      </c>
      <c r="C186" t="s">
        <v>699</v>
      </c>
    </row>
    <row r="187" spans="1:3" x14ac:dyDescent="0.2">
      <c r="A187">
        <v>2015</v>
      </c>
      <c r="B187">
        <v>6676</v>
      </c>
      <c r="C187" t="s">
        <v>699</v>
      </c>
    </row>
    <row r="188" spans="1:3" x14ac:dyDescent="0.2">
      <c r="A188">
        <v>2016</v>
      </c>
      <c r="B188">
        <v>6432</v>
      </c>
      <c r="C188" t="s">
        <v>699</v>
      </c>
    </row>
    <row r="189" spans="1:3" x14ac:dyDescent="0.2">
      <c r="A189">
        <v>2017</v>
      </c>
      <c r="B189">
        <v>4861</v>
      </c>
      <c r="C189" t="s">
        <v>699</v>
      </c>
    </row>
    <row r="190" spans="1:3" x14ac:dyDescent="0.2">
      <c r="A190">
        <v>2018</v>
      </c>
      <c r="B190">
        <v>4652</v>
      </c>
      <c r="C190" t="s">
        <v>699</v>
      </c>
    </row>
    <row r="191" spans="1:3" x14ac:dyDescent="0.2">
      <c r="A191">
        <v>2019</v>
      </c>
      <c r="B191">
        <v>5067</v>
      </c>
      <c r="C191" t="s">
        <v>699</v>
      </c>
    </row>
    <row r="192" spans="1:3" x14ac:dyDescent="0.2">
      <c r="A192">
        <v>2020</v>
      </c>
      <c r="B192">
        <v>6545</v>
      </c>
      <c r="C192" t="s">
        <v>699</v>
      </c>
    </row>
    <row r="193" spans="1:3" x14ac:dyDescent="0.2">
      <c r="A193">
        <v>2021</v>
      </c>
      <c r="B193">
        <v>6034</v>
      </c>
      <c r="C193" t="s">
        <v>699</v>
      </c>
    </row>
    <row r="194" spans="1:3" x14ac:dyDescent="0.2">
      <c r="A194">
        <v>1990</v>
      </c>
      <c r="B194">
        <v>1031</v>
      </c>
      <c r="C194" t="s">
        <v>700</v>
      </c>
    </row>
    <row r="195" spans="1:3" x14ac:dyDescent="0.2">
      <c r="A195">
        <v>1991</v>
      </c>
      <c r="B195">
        <v>1624</v>
      </c>
      <c r="C195" t="s">
        <v>700</v>
      </c>
    </row>
    <row r="196" spans="1:3" x14ac:dyDescent="0.2">
      <c r="A196">
        <v>1992</v>
      </c>
      <c r="B196">
        <v>3125</v>
      </c>
      <c r="C196" t="s">
        <v>700</v>
      </c>
    </row>
    <row r="197" spans="1:3" x14ac:dyDescent="0.2">
      <c r="A197">
        <v>1993</v>
      </c>
      <c r="B197">
        <v>2874</v>
      </c>
      <c r="C197" t="s">
        <v>700</v>
      </c>
    </row>
    <row r="198" spans="1:3" x14ac:dyDescent="0.2">
      <c r="A198">
        <v>1994</v>
      </c>
      <c r="B198">
        <v>3195</v>
      </c>
      <c r="C198" t="s">
        <v>700</v>
      </c>
    </row>
    <row r="199" spans="1:3" x14ac:dyDescent="0.2">
      <c r="A199">
        <v>1995</v>
      </c>
      <c r="B199">
        <v>4343</v>
      </c>
      <c r="C199" t="s">
        <v>700</v>
      </c>
    </row>
    <row r="200" spans="1:3" x14ac:dyDescent="0.2">
      <c r="A200">
        <v>1996</v>
      </c>
      <c r="B200">
        <v>5635</v>
      </c>
      <c r="C200" t="s">
        <v>700</v>
      </c>
    </row>
    <row r="201" spans="1:3" x14ac:dyDescent="0.2">
      <c r="A201">
        <v>1997</v>
      </c>
      <c r="B201">
        <v>7888</v>
      </c>
      <c r="C201" t="s">
        <v>700</v>
      </c>
    </row>
    <row r="202" spans="1:3" x14ac:dyDescent="0.2">
      <c r="A202">
        <v>1998</v>
      </c>
      <c r="B202">
        <v>6958</v>
      </c>
      <c r="C202" t="s">
        <v>700</v>
      </c>
    </row>
    <row r="203" spans="1:3" x14ac:dyDescent="0.2">
      <c r="A203">
        <v>1999</v>
      </c>
      <c r="B203">
        <v>6719</v>
      </c>
      <c r="C203" t="s">
        <v>700</v>
      </c>
    </row>
    <row r="204" spans="1:3" x14ac:dyDescent="0.2">
      <c r="A204">
        <v>2000</v>
      </c>
      <c r="B204">
        <v>10435</v>
      </c>
      <c r="C204" t="s">
        <v>700</v>
      </c>
    </row>
    <row r="205" spans="1:3" x14ac:dyDescent="0.2">
      <c r="A205">
        <v>2001</v>
      </c>
      <c r="B205">
        <v>6336</v>
      </c>
      <c r="C205" t="s">
        <v>700</v>
      </c>
    </row>
    <row r="206" spans="1:3" x14ac:dyDescent="0.2">
      <c r="A206">
        <v>2002</v>
      </c>
      <c r="B206">
        <v>7294</v>
      </c>
      <c r="C206" t="s">
        <v>700</v>
      </c>
    </row>
    <row r="207" spans="1:3" x14ac:dyDescent="0.2">
      <c r="A207">
        <v>2003</v>
      </c>
      <c r="B207">
        <v>7551</v>
      </c>
      <c r="C207" t="s">
        <v>700</v>
      </c>
    </row>
    <row r="208" spans="1:3" x14ac:dyDescent="0.2">
      <c r="A208">
        <v>2004</v>
      </c>
      <c r="B208">
        <v>8337</v>
      </c>
      <c r="C208" t="s">
        <v>700</v>
      </c>
    </row>
    <row r="209" spans="1:3" x14ac:dyDescent="0.2">
      <c r="A209">
        <v>2005</v>
      </c>
      <c r="B209">
        <v>10881</v>
      </c>
      <c r="C209" t="s">
        <v>700</v>
      </c>
    </row>
    <row r="210" spans="1:3" x14ac:dyDescent="0.2">
      <c r="A210">
        <v>2006</v>
      </c>
      <c r="B210">
        <v>12627</v>
      </c>
      <c r="C210" t="s">
        <v>700</v>
      </c>
    </row>
    <row r="211" spans="1:3" x14ac:dyDescent="0.2">
      <c r="A211">
        <v>2007</v>
      </c>
      <c r="B211">
        <v>11935</v>
      </c>
      <c r="C211" t="s">
        <v>700</v>
      </c>
    </row>
    <row r="212" spans="1:3" x14ac:dyDescent="0.2">
      <c r="A212">
        <v>2008</v>
      </c>
      <c r="B212">
        <v>14262</v>
      </c>
      <c r="C212" t="s">
        <v>700</v>
      </c>
    </row>
    <row r="213" spans="1:3" x14ac:dyDescent="0.2">
      <c r="A213">
        <v>2009</v>
      </c>
      <c r="B213">
        <v>13280</v>
      </c>
      <c r="C213" t="s">
        <v>700</v>
      </c>
    </row>
    <row r="214" spans="1:3" x14ac:dyDescent="0.2">
      <c r="A214">
        <v>2010</v>
      </c>
      <c r="B214">
        <v>11384</v>
      </c>
      <c r="C214" t="s">
        <v>700</v>
      </c>
    </row>
    <row r="215" spans="1:3" x14ac:dyDescent="0.2">
      <c r="A215">
        <v>2011</v>
      </c>
      <c r="B215">
        <v>11401</v>
      </c>
      <c r="C215" t="s">
        <v>700</v>
      </c>
    </row>
    <row r="216" spans="1:3" x14ac:dyDescent="0.2">
      <c r="A216">
        <v>2012</v>
      </c>
      <c r="B216">
        <v>12219</v>
      </c>
      <c r="C216" t="s">
        <v>700</v>
      </c>
    </row>
    <row r="217" spans="1:3" x14ac:dyDescent="0.2">
      <c r="A217">
        <v>2013</v>
      </c>
      <c r="B217">
        <v>11639</v>
      </c>
      <c r="C217" t="s">
        <v>700</v>
      </c>
    </row>
    <row r="218" spans="1:3" x14ac:dyDescent="0.2">
      <c r="A218">
        <v>2014</v>
      </c>
      <c r="B218">
        <v>11055</v>
      </c>
      <c r="C218" t="s">
        <v>700</v>
      </c>
    </row>
    <row r="219" spans="1:3" x14ac:dyDescent="0.2">
      <c r="A219">
        <v>2015</v>
      </c>
      <c r="B219">
        <v>12154</v>
      </c>
      <c r="C219" t="s">
        <v>700</v>
      </c>
    </row>
    <row r="220" spans="1:3" x14ac:dyDescent="0.2">
      <c r="A220">
        <v>2016</v>
      </c>
      <c r="B220">
        <v>12476</v>
      </c>
      <c r="C220" t="s">
        <v>700</v>
      </c>
    </row>
    <row r="221" spans="1:3" x14ac:dyDescent="0.2">
      <c r="A221">
        <v>2017</v>
      </c>
      <c r="B221">
        <v>11894</v>
      </c>
      <c r="C221" t="s">
        <v>700</v>
      </c>
    </row>
    <row r="222" spans="1:3" x14ac:dyDescent="0.2">
      <c r="A222">
        <v>2018</v>
      </c>
      <c r="B222">
        <v>12404</v>
      </c>
      <c r="C222" t="s">
        <v>700</v>
      </c>
    </row>
    <row r="223" spans="1:3" x14ac:dyDescent="0.2">
      <c r="A223">
        <v>2019</v>
      </c>
      <c r="B223">
        <v>13988</v>
      </c>
      <c r="C223" t="s">
        <v>700</v>
      </c>
    </row>
    <row r="224" spans="1:3" x14ac:dyDescent="0.2">
      <c r="A224">
        <v>2020</v>
      </c>
      <c r="B224">
        <v>13425</v>
      </c>
      <c r="C224" t="s">
        <v>700</v>
      </c>
    </row>
    <row r="225" spans="1:3" x14ac:dyDescent="0.2">
      <c r="A225">
        <v>2021</v>
      </c>
      <c r="B225">
        <v>11866</v>
      </c>
      <c r="C225" t="s">
        <v>700</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707915-44F9-E844-B9F7-A317C6822B42}">
  <dimension ref="A1:D135"/>
  <sheetViews>
    <sheetView topLeftCell="A58" workbookViewId="0">
      <selection activeCell="E36" sqref="E36"/>
    </sheetView>
  </sheetViews>
  <sheetFormatPr baseColWidth="10" defaultRowHeight="16" x14ac:dyDescent="0.2"/>
  <sheetData>
    <row r="1" spans="1:4" x14ac:dyDescent="0.2">
      <c r="A1" t="s">
        <v>583</v>
      </c>
      <c r="B1" t="s">
        <v>681</v>
      </c>
      <c r="C1" t="s">
        <v>682</v>
      </c>
    </row>
    <row r="2" spans="1:4" x14ac:dyDescent="0.2">
      <c r="A2">
        <v>1988</v>
      </c>
      <c r="B2">
        <v>28300</v>
      </c>
      <c r="C2" t="s">
        <v>684</v>
      </c>
      <c r="D2" t="s">
        <v>685</v>
      </c>
    </row>
    <row r="3" spans="1:4" x14ac:dyDescent="0.2">
      <c r="A3">
        <v>1989</v>
      </c>
      <c r="B3">
        <v>35900</v>
      </c>
      <c r="C3" t="s">
        <v>684</v>
      </c>
    </row>
    <row r="4" spans="1:4" x14ac:dyDescent="0.2">
      <c r="A4">
        <v>1990</v>
      </c>
      <c r="B4">
        <v>32300</v>
      </c>
      <c r="C4" t="s">
        <v>684</v>
      </c>
    </row>
    <row r="5" spans="1:4" x14ac:dyDescent="0.2">
      <c r="A5">
        <v>1991</v>
      </c>
      <c r="B5">
        <v>39800</v>
      </c>
      <c r="C5" t="s">
        <v>684</v>
      </c>
    </row>
    <row r="6" spans="1:4" x14ac:dyDescent="0.2">
      <c r="A6">
        <v>1992</v>
      </c>
      <c r="B6">
        <v>61900</v>
      </c>
      <c r="C6" t="s">
        <v>684</v>
      </c>
    </row>
    <row r="7" spans="1:4" x14ac:dyDescent="0.2">
      <c r="A7">
        <v>1993</v>
      </c>
      <c r="B7">
        <v>64500</v>
      </c>
      <c r="C7" t="s">
        <v>684</v>
      </c>
    </row>
    <row r="8" spans="1:4" x14ac:dyDescent="0.2">
      <c r="A8">
        <v>1994</v>
      </c>
      <c r="B8">
        <v>56600</v>
      </c>
      <c r="C8" t="s">
        <v>684</v>
      </c>
    </row>
    <row r="9" spans="1:4" x14ac:dyDescent="0.2">
      <c r="A9">
        <v>1995</v>
      </c>
      <c r="B9">
        <v>46100</v>
      </c>
      <c r="C9" t="s">
        <v>684</v>
      </c>
    </row>
    <row r="10" spans="1:4" x14ac:dyDescent="0.2">
      <c r="A10">
        <v>1996</v>
      </c>
      <c r="B10">
        <v>45300</v>
      </c>
      <c r="C10" t="s">
        <v>684</v>
      </c>
    </row>
    <row r="11" spans="1:4" x14ac:dyDescent="0.2">
      <c r="A11">
        <v>1997</v>
      </c>
      <c r="B11">
        <v>48400</v>
      </c>
      <c r="C11" t="s">
        <v>684</v>
      </c>
    </row>
    <row r="12" spans="1:4" x14ac:dyDescent="0.2">
      <c r="A12">
        <v>1998</v>
      </c>
      <c r="B12">
        <v>53600</v>
      </c>
      <c r="C12" t="s">
        <v>684</v>
      </c>
    </row>
    <row r="13" spans="1:4" x14ac:dyDescent="0.2">
      <c r="A13">
        <v>1999</v>
      </c>
      <c r="B13">
        <v>51400</v>
      </c>
      <c r="C13" t="s">
        <v>684</v>
      </c>
    </row>
    <row r="14" spans="1:4" x14ac:dyDescent="0.2">
      <c r="A14">
        <v>2000</v>
      </c>
      <c r="B14">
        <v>50900</v>
      </c>
      <c r="C14" t="s">
        <v>684</v>
      </c>
    </row>
    <row r="15" spans="1:4" x14ac:dyDescent="0.2">
      <c r="A15">
        <v>2001</v>
      </c>
      <c r="B15">
        <v>49700</v>
      </c>
      <c r="C15" t="s">
        <v>684</v>
      </c>
    </row>
    <row r="16" spans="1:4" x14ac:dyDescent="0.2">
      <c r="A16">
        <v>2002</v>
      </c>
      <c r="B16">
        <v>45000</v>
      </c>
      <c r="C16" t="s">
        <v>684</v>
      </c>
    </row>
    <row r="17" spans="1:3" x14ac:dyDescent="0.2">
      <c r="A17">
        <v>2003</v>
      </c>
      <c r="B17">
        <v>41500</v>
      </c>
      <c r="C17" t="s">
        <v>684</v>
      </c>
    </row>
    <row r="18" spans="1:3" x14ac:dyDescent="0.2">
      <c r="A18">
        <v>2004</v>
      </c>
      <c r="B18">
        <v>40700</v>
      </c>
      <c r="C18" t="s">
        <v>684</v>
      </c>
    </row>
    <row r="19" spans="1:3" x14ac:dyDescent="0.2">
      <c r="A19">
        <v>2005</v>
      </c>
      <c r="B19">
        <v>39000</v>
      </c>
      <c r="C19" t="s">
        <v>684</v>
      </c>
    </row>
    <row r="20" spans="1:3" x14ac:dyDescent="0.2">
      <c r="A20">
        <v>2006</v>
      </c>
      <c r="B20">
        <v>38600</v>
      </c>
      <c r="C20" t="s">
        <v>684</v>
      </c>
    </row>
    <row r="21" spans="1:3" x14ac:dyDescent="0.2">
      <c r="A21">
        <v>2007</v>
      </c>
      <c r="B21">
        <v>31000</v>
      </c>
      <c r="C21" t="s">
        <v>684</v>
      </c>
    </row>
    <row r="22" spans="1:3" x14ac:dyDescent="0.2">
      <c r="A22">
        <v>2008</v>
      </c>
      <c r="B22">
        <v>30000</v>
      </c>
      <c r="C22" t="s">
        <v>684</v>
      </c>
    </row>
    <row r="23" spans="1:3" x14ac:dyDescent="0.2">
      <c r="A23">
        <v>2009</v>
      </c>
      <c r="B23">
        <v>26600</v>
      </c>
      <c r="C23" t="s">
        <v>684</v>
      </c>
    </row>
    <row r="24" spans="1:3" x14ac:dyDescent="0.2">
      <c r="A24">
        <v>2010</v>
      </c>
      <c r="B24">
        <v>25000</v>
      </c>
      <c r="C24" t="s">
        <v>684</v>
      </c>
    </row>
    <row r="25" spans="1:3" x14ac:dyDescent="0.2">
      <c r="A25">
        <v>2011</v>
      </c>
      <c r="B25">
        <v>22400</v>
      </c>
      <c r="C25" t="s">
        <v>684</v>
      </c>
    </row>
    <row r="26" spans="1:3" x14ac:dyDescent="0.2">
      <c r="A26">
        <v>2012</v>
      </c>
      <c r="B26">
        <v>22150</v>
      </c>
      <c r="C26" t="s">
        <v>684</v>
      </c>
    </row>
    <row r="27" spans="1:3" x14ac:dyDescent="0.2">
      <c r="A27">
        <v>2013</v>
      </c>
      <c r="B27">
        <v>21700</v>
      </c>
      <c r="C27" t="s">
        <v>684</v>
      </c>
    </row>
    <row r="28" spans="1:3" x14ac:dyDescent="0.2">
      <c r="A28">
        <v>2014</v>
      </c>
      <c r="B28">
        <v>21000</v>
      </c>
      <c r="C28" t="s">
        <v>684</v>
      </c>
    </row>
    <row r="29" spans="1:3" x14ac:dyDescent="0.2">
      <c r="A29">
        <v>2015</v>
      </c>
      <c r="B29">
        <v>22600</v>
      </c>
      <c r="C29" t="s">
        <v>684</v>
      </c>
    </row>
    <row r="30" spans="1:3" x14ac:dyDescent="0.2">
      <c r="A30">
        <v>2016</v>
      </c>
      <c r="B30">
        <v>23100</v>
      </c>
      <c r="C30" t="s">
        <v>684</v>
      </c>
    </row>
    <row r="31" spans="1:3" x14ac:dyDescent="0.2">
      <c r="A31">
        <v>2017</v>
      </c>
      <c r="B31">
        <v>24000</v>
      </c>
      <c r="C31" t="s">
        <v>684</v>
      </c>
    </row>
    <row r="32" spans="1:3" x14ac:dyDescent="0.2">
      <c r="A32">
        <v>2018</v>
      </c>
      <c r="B32">
        <v>24100</v>
      </c>
      <c r="C32" t="s">
        <v>684</v>
      </c>
    </row>
    <row r="33" spans="1:3" x14ac:dyDescent="0.2">
      <c r="A33">
        <v>2019</v>
      </c>
      <c r="B33">
        <v>32080</v>
      </c>
      <c r="C33" t="s">
        <v>684</v>
      </c>
    </row>
    <row r="34" spans="1:3" x14ac:dyDescent="0.2">
      <c r="A34">
        <v>2020</v>
      </c>
      <c r="B34">
        <v>33300</v>
      </c>
      <c r="C34" t="s">
        <v>684</v>
      </c>
    </row>
    <row r="35" spans="1:3" x14ac:dyDescent="0.2">
      <c r="A35">
        <v>1988</v>
      </c>
      <c r="B35">
        <v>1900</v>
      </c>
      <c r="C35" t="s">
        <v>683</v>
      </c>
    </row>
    <row r="36" spans="1:3" x14ac:dyDescent="0.2">
      <c r="A36">
        <v>1989</v>
      </c>
      <c r="B36">
        <v>1500</v>
      </c>
      <c r="C36" t="s">
        <v>683</v>
      </c>
    </row>
    <row r="37" spans="1:3" x14ac:dyDescent="0.2">
      <c r="A37">
        <v>1990</v>
      </c>
      <c r="B37">
        <v>1400</v>
      </c>
      <c r="C37" t="s">
        <v>683</v>
      </c>
    </row>
    <row r="38" spans="1:3" x14ac:dyDescent="0.2">
      <c r="A38">
        <v>1991</v>
      </c>
      <c r="B38">
        <v>2100</v>
      </c>
      <c r="C38" t="s">
        <v>683</v>
      </c>
    </row>
    <row r="39" spans="1:3" x14ac:dyDescent="0.2">
      <c r="A39">
        <v>1992</v>
      </c>
      <c r="B39">
        <v>2200</v>
      </c>
      <c r="C39" t="s">
        <v>683</v>
      </c>
    </row>
    <row r="40" spans="1:3" x14ac:dyDescent="0.2">
      <c r="A40">
        <v>1993</v>
      </c>
      <c r="B40">
        <v>2450</v>
      </c>
      <c r="C40" t="s">
        <v>683</v>
      </c>
    </row>
    <row r="41" spans="1:3" x14ac:dyDescent="0.2">
      <c r="A41">
        <v>1994</v>
      </c>
      <c r="B41">
        <v>3740</v>
      </c>
      <c r="C41" t="s">
        <v>683</v>
      </c>
    </row>
    <row r="42" spans="1:3" x14ac:dyDescent="0.2">
      <c r="A42">
        <v>1995</v>
      </c>
      <c r="B42">
        <v>2480</v>
      </c>
      <c r="C42" t="s">
        <v>683</v>
      </c>
    </row>
    <row r="43" spans="1:3" x14ac:dyDescent="0.2">
      <c r="A43">
        <v>1996</v>
      </c>
      <c r="B43">
        <v>2690</v>
      </c>
      <c r="C43" t="s">
        <v>683</v>
      </c>
    </row>
    <row r="44" spans="1:3" x14ac:dyDescent="0.2">
      <c r="A44">
        <v>1997</v>
      </c>
      <c r="B44">
        <v>2400</v>
      </c>
      <c r="C44" t="s">
        <v>683</v>
      </c>
    </row>
    <row r="45" spans="1:3" x14ac:dyDescent="0.2">
      <c r="A45">
        <v>1998</v>
      </c>
      <c r="B45">
        <v>2400</v>
      </c>
      <c r="C45" t="s">
        <v>683</v>
      </c>
    </row>
    <row r="46" spans="1:3" x14ac:dyDescent="0.2">
      <c r="A46">
        <v>1999</v>
      </c>
      <c r="B46">
        <v>2200</v>
      </c>
      <c r="C46" t="s">
        <v>683</v>
      </c>
    </row>
    <row r="47" spans="1:3" x14ac:dyDescent="0.2">
      <c r="A47">
        <v>2000</v>
      </c>
      <c r="B47">
        <v>2200</v>
      </c>
      <c r="C47" t="s">
        <v>683</v>
      </c>
    </row>
    <row r="48" spans="1:3" x14ac:dyDescent="0.2">
      <c r="A48">
        <v>2001</v>
      </c>
      <c r="B48">
        <v>2800</v>
      </c>
      <c r="C48" t="s">
        <v>683</v>
      </c>
    </row>
    <row r="49" spans="1:3" x14ac:dyDescent="0.2">
      <c r="A49">
        <v>2002</v>
      </c>
      <c r="B49">
        <v>2600</v>
      </c>
      <c r="C49" t="s">
        <v>683</v>
      </c>
    </row>
    <row r="50" spans="1:3" x14ac:dyDescent="0.2">
      <c r="A50">
        <v>2003</v>
      </c>
      <c r="B50">
        <v>3000</v>
      </c>
      <c r="C50" t="s">
        <v>683</v>
      </c>
    </row>
    <row r="51" spans="1:3" x14ac:dyDescent="0.2">
      <c r="A51">
        <v>2004</v>
      </c>
      <c r="B51">
        <v>3800</v>
      </c>
      <c r="C51" t="s">
        <v>683</v>
      </c>
    </row>
    <row r="52" spans="1:3" x14ac:dyDescent="0.2">
      <c r="A52">
        <v>2005</v>
      </c>
      <c r="B52">
        <v>4100</v>
      </c>
      <c r="C52" t="s">
        <v>683</v>
      </c>
    </row>
    <row r="53" spans="1:3" x14ac:dyDescent="0.2">
      <c r="A53">
        <v>2006</v>
      </c>
      <c r="B53">
        <v>4200</v>
      </c>
      <c r="C53" t="s">
        <v>683</v>
      </c>
    </row>
    <row r="54" spans="1:3" x14ac:dyDescent="0.2">
      <c r="A54">
        <v>2007</v>
      </c>
      <c r="B54">
        <v>4400</v>
      </c>
      <c r="C54" t="s">
        <v>683</v>
      </c>
    </row>
    <row r="55" spans="1:3" x14ac:dyDescent="0.2">
      <c r="A55">
        <v>2008</v>
      </c>
      <c r="B55">
        <v>4800</v>
      </c>
      <c r="C55" t="s">
        <v>683</v>
      </c>
    </row>
    <row r="56" spans="1:3" x14ac:dyDescent="0.2">
      <c r="A56">
        <v>2009</v>
      </c>
      <c r="B56">
        <v>5000</v>
      </c>
      <c r="C56" t="s">
        <v>683</v>
      </c>
    </row>
    <row r="57" spans="1:3" x14ac:dyDescent="0.2">
      <c r="A57">
        <v>2010</v>
      </c>
      <c r="B57">
        <v>5600</v>
      </c>
      <c r="C57" t="s">
        <v>683</v>
      </c>
    </row>
    <row r="58" spans="1:3" x14ac:dyDescent="0.2">
      <c r="A58">
        <v>2011</v>
      </c>
      <c r="B58">
        <v>6000</v>
      </c>
      <c r="C58" t="s">
        <v>683</v>
      </c>
    </row>
    <row r="59" spans="1:3" x14ac:dyDescent="0.2">
      <c r="A59">
        <v>2012</v>
      </c>
      <c r="B59">
        <v>6000</v>
      </c>
      <c r="C59" t="s">
        <v>683</v>
      </c>
    </row>
    <row r="60" spans="1:3" x14ac:dyDescent="0.2">
      <c r="A60">
        <v>2013</v>
      </c>
      <c r="B60">
        <v>5800</v>
      </c>
      <c r="C60" t="s">
        <v>683</v>
      </c>
    </row>
    <row r="61" spans="1:3" x14ac:dyDescent="0.2">
      <c r="A61">
        <v>2014</v>
      </c>
      <c r="B61">
        <v>5600</v>
      </c>
      <c r="C61" t="s">
        <v>683</v>
      </c>
    </row>
    <row r="62" spans="1:3" x14ac:dyDescent="0.2">
      <c r="A62">
        <v>2015</v>
      </c>
      <c r="B62">
        <v>5800</v>
      </c>
      <c r="C62" t="s">
        <v>683</v>
      </c>
    </row>
    <row r="63" spans="1:3" x14ac:dyDescent="0.2">
      <c r="A63">
        <v>2016</v>
      </c>
      <c r="B63">
        <v>5800</v>
      </c>
      <c r="C63" t="s">
        <v>683</v>
      </c>
    </row>
    <row r="64" spans="1:3" x14ac:dyDescent="0.2">
      <c r="A64">
        <v>2017</v>
      </c>
      <c r="B64">
        <v>6000</v>
      </c>
      <c r="C64" t="s">
        <v>683</v>
      </c>
    </row>
    <row r="65" spans="1:3" x14ac:dyDescent="0.2">
      <c r="A65">
        <v>1989</v>
      </c>
      <c r="B65">
        <v>7000</v>
      </c>
      <c r="C65" t="s">
        <v>88</v>
      </c>
    </row>
    <row r="66" spans="1:3" x14ac:dyDescent="0.2">
      <c r="A66">
        <v>1990</v>
      </c>
      <c r="B66">
        <v>6500</v>
      </c>
      <c r="C66" t="s">
        <v>88</v>
      </c>
    </row>
    <row r="67" spans="1:3" x14ac:dyDescent="0.2">
      <c r="A67">
        <v>1991</v>
      </c>
      <c r="B67">
        <v>6100</v>
      </c>
      <c r="C67" t="s">
        <v>88</v>
      </c>
    </row>
    <row r="68" spans="1:3" x14ac:dyDescent="0.2">
      <c r="A68">
        <v>1992</v>
      </c>
      <c r="B68">
        <v>5000</v>
      </c>
      <c r="C68" t="s">
        <v>88</v>
      </c>
    </row>
    <row r="69" spans="1:3" x14ac:dyDescent="0.2">
      <c r="A69">
        <v>1993</v>
      </c>
      <c r="B69">
        <v>5000</v>
      </c>
      <c r="C69" t="s">
        <v>88</v>
      </c>
    </row>
    <row r="70" spans="1:3" x14ac:dyDescent="0.2">
      <c r="A70">
        <v>1994</v>
      </c>
      <c r="B70">
        <v>4500</v>
      </c>
      <c r="C70" t="s">
        <v>88</v>
      </c>
    </row>
    <row r="71" spans="1:3" x14ac:dyDescent="0.2">
      <c r="A71">
        <v>1995</v>
      </c>
      <c r="B71">
        <v>4000</v>
      </c>
      <c r="C71" t="s">
        <v>88</v>
      </c>
    </row>
    <row r="72" spans="1:3" x14ac:dyDescent="0.2">
      <c r="A72">
        <v>1996</v>
      </c>
      <c r="B72">
        <v>3500</v>
      </c>
      <c r="C72" t="s">
        <v>88</v>
      </c>
    </row>
    <row r="73" spans="1:3" x14ac:dyDescent="0.2">
      <c r="A73">
        <v>1997</v>
      </c>
      <c r="B73">
        <v>4300</v>
      </c>
      <c r="C73" t="s">
        <v>88</v>
      </c>
    </row>
    <row r="74" spans="1:3" x14ac:dyDescent="0.2">
      <c r="A74">
        <v>1998</v>
      </c>
      <c r="B74">
        <v>6000</v>
      </c>
      <c r="C74" t="s">
        <v>88</v>
      </c>
    </row>
    <row r="75" spans="1:3" x14ac:dyDescent="0.2">
      <c r="A75">
        <v>1999</v>
      </c>
      <c r="B75">
        <v>6000</v>
      </c>
      <c r="C75" t="s">
        <v>88</v>
      </c>
    </row>
    <row r="76" spans="1:3" x14ac:dyDescent="0.2">
      <c r="A76">
        <v>2000</v>
      </c>
      <c r="B76">
        <v>6500</v>
      </c>
      <c r="C76" t="s">
        <v>88</v>
      </c>
    </row>
    <row r="77" spans="1:3" x14ac:dyDescent="0.2">
      <c r="A77">
        <v>2001</v>
      </c>
      <c r="B77">
        <v>6500</v>
      </c>
      <c r="C77" t="s">
        <v>88</v>
      </c>
    </row>
    <row r="78" spans="1:3" x14ac:dyDescent="0.2">
      <c r="A78">
        <v>2002</v>
      </c>
      <c r="B78">
        <v>6100</v>
      </c>
      <c r="C78" t="s">
        <v>88</v>
      </c>
    </row>
    <row r="79" spans="1:3" x14ac:dyDescent="0.2">
      <c r="A79">
        <v>2003</v>
      </c>
      <c r="B79">
        <v>5000</v>
      </c>
      <c r="C79" t="s">
        <v>88</v>
      </c>
    </row>
    <row r="80" spans="1:3" x14ac:dyDescent="0.2">
      <c r="A80">
        <v>2004</v>
      </c>
      <c r="B80">
        <v>5300</v>
      </c>
      <c r="C80" t="s">
        <v>88</v>
      </c>
    </row>
    <row r="81" spans="1:3" x14ac:dyDescent="0.2">
      <c r="A81">
        <v>2005</v>
      </c>
      <c r="B81">
        <v>6000</v>
      </c>
      <c r="C81" t="s">
        <v>88</v>
      </c>
    </row>
    <row r="82" spans="1:3" x14ac:dyDescent="0.2">
      <c r="A82">
        <v>2006</v>
      </c>
      <c r="B82">
        <v>7000</v>
      </c>
      <c r="C82" t="s">
        <v>88</v>
      </c>
    </row>
    <row r="83" spans="1:3" x14ac:dyDescent="0.2">
      <c r="A83">
        <v>2007</v>
      </c>
      <c r="B83">
        <v>7200</v>
      </c>
      <c r="C83" t="s">
        <v>88</v>
      </c>
    </row>
    <row r="84" spans="1:3" x14ac:dyDescent="0.2">
      <c r="A84">
        <v>2008</v>
      </c>
      <c r="B84">
        <v>7000</v>
      </c>
      <c r="C84" t="s">
        <v>88</v>
      </c>
    </row>
    <row r="85" spans="1:3" x14ac:dyDescent="0.2">
      <c r="A85">
        <v>2009</v>
      </c>
      <c r="B85">
        <v>6800</v>
      </c>
      <c r="C85" t="s">
        <v>88</v>
      </c>
    </row>
    <row r="86" spans="1:3" x14ac:dyDescent="0.2">
      <c r="A86">
        <v>2010</v>
      </c>
      <c r="B86">
        <v>6600</v>
      </c>
      <c r="C86" t="s">
        <v>88</v>
      </c>
    </row>
    <row r="87" spans="1:3" x14ac:dyDescent="0.2">
      <c r="A87">
        <v>2011</v>
      </c>
      <c r="B87">
        <v>6300</v>
      </c>
      <c r="C87" t="s">
        <v>88</v>
      </c>
    </row>
    <row r="88" spans="1:3" x14ac:dyDescent="0.2">
      <c r="A88">
        <v>2012</v>
      </c>
      <c r="B88">
        <v>6000</v>
      </c>
      <c r="C88" t="s">
        <v>88</v>
      </c>
    </row>
    <row r="89" spans="1:3" x14ac:dyDescent="0.2">
      <c r="A89">
        <v>2013</v>
      </c>
      <c r="B89">
        <v>5500</v>
      </c>
      <c r="C89" t="s">
        <v>88</v>
      </c>
    </row>
    <row r="90" spans="1:3" x14ac:dyDescent="0.2">
      <c r="A90">
        <v>2014</v>
      </c>
      <c r="B90">
        <v>5200</v>
      </c>
      <c r="C90" t="s">
        <v>88</v>
      </c>
    </row>
    <row r="91" spans="1:3" x14ac:dyDescent="0.2">
      <c r="A91">
        <v>2015</v>
      </c>
      <c r="B91">
        <v>5200</v>
      </c>
      <c r="C91" t="s">
        <v>88</v>
      </c>
    </row>
    <row r="92" spans="1:3" x14ac:dyDescent="0.2">
      <c r="A92">
        <v>2016</v>
      </c>
      <c r="B92">
        <v>5000</v>
      </c>
      <c r="C92" t="s">
        <v>88</v>
      </c>
    </row>
    <row r="93" spans="1:3" x14ac:dyDescent="0.2">
      <c r="A93">
        <v>2017</v>
      </c>
      <c r="B93">
        <v>4500</v>
      </c>
      <c r="C93" t="s">
        <v>88</v>
      </c>
    </row>
    <row r="94" spans="1:3" x14ac:dyDescent="0.2">
      <c r="A94">
        <v>2018</v>
      </c>
      <c r="B94">
        <v>4000</v>
      </c>
      <c r="C94" t="s">
        <v>88</v>
      </c>
    </row>
    <row r="95" spans="1:3" x14ac:dyDescent="0.2">
      <c r="A95">
        <v>2019</v>
      </c>
      <c r="B95">
        <v>3600</v>
      </c>
      <c r="C95" t="s">
        <v>88</v>
      </c>
    </row>
    <row r="96" spans="1:3" x14ac:dyDescent="0.2">
      <c r="A96">
        <v>2020</v>
      </c>
      <c r="B96">
        <v>3500</v>
      </c>
      <c r="C96" t="s">
        <v>88</v>
      </c>
    </row>
    <row r="97" spans="1:3" x14ac:dyDescent="0.2">
      <c r="A97">
        <v>1992</v>
      </c>
      <c r="B97">
        <v>20000</v>
      </c>
      <c r="C97" t="s">
        <v>104</v>
      </c>
    </row>
    <row r="98" spans="1:3" x14ac:dyDescent="0.2">
      <c r="A98">
        <v>1993</v>
      </c>
      <c r="B98">
        <v>23000</v>
      </c>
      <c r="C98" t="s">
        <v>104</v>
      </c>
    </row>
    <row r="99" spans="1:3" x14ac:dyDescent="0.2">
      <c r="A99">
        <v>1994</v>
      </c>
      <c r="B99">
        <v>20000</v>
      </c>
      <c r="C99" t="s">
        <v>104</v>
      </c>
    </row>
    <row r="100" spans="1:3" x14ac:dyDescent="0.2">
      <c r="A100">
        <v>1995</v>
      </c>
      <c r="B100">
        <v>16000</v>
      </c>
      <c r="C100" t="s">
        <v>104</v>
      </c>
    </row>
    <row r="101" spans="1:3" x14ac:dyDescent="0.2">
      <c r="A101">
        <v>1996</v>
      </c>
      <c r="B101">
        <v>15000</v>
      </c>
      <c r="C101" t="s">
        <v>104</v>
      </c>
    </row>
    <row r="102" spans="1:3" x14ac:dyDescent="0.2">
      <c r="A102">
        <v>1997</v>
      </c>
      <c r="B102">
        <v>15500</v>
      </c>
      <c r="C102" t="s">
        <v>104</v>
      </c>
    </row>
    <row r="103" spans="1:3" x14ac:dyDescent="0.2">
      <c r="A103">
        <v>1998</v>
      </c>
      <c r="B103">
        <v>15000</v>
      </c>
      <c r="C103" t="s">
        <v>104</v>
      </c>
    </row>
    <row r="104" spans="1:3" x14ac:dyDescent="0.2">
      <c r="A104">
        <v>1999</v>
      </c>
      <c r="B104">
        <v>14000</v>
      </c>
      <c r="C104" t="s">
        <v>104</v>
      </c>
    </row>
    <row r="105" spans="1:3" x14ac:dyDescent="0.2">
      <c r="A105">
        <v>2000</v>
      </c>
      <c r="B105">
        <v>13000</v>
      </c>
      <c r="C105" t="s">
        <v>104</v>
      </c>
    </row>
    <row r="106" spans="1:3" x14ac:dyDescent="0.2">
      <c r="A106">
        <v>2001</v>
      </c>
      <c r="B106">
        <v>11500</v>
      </c>
      <c r="C106" t="s">
        <v>104</v>
      </c>
    </row>
    <row r="107" spans="1:3" x14ac:dyDescent="0.2">
      <c r="A107">
        <v>2002</v>
      </c>
      <c r="B107">
        <v>9000</v>
      </c>
      <c r="C107" t="s">
        <v>104</v>
      </c>
    </row>
    <row r="108" spans="1:3" x14ac:dyDescent="0.2">
      <c r="A108">
        <v>2003</v>
      </c>
      <c r="B108">
        <v>8000</v>
      </c>
      <c r="C108" t="s">
        <v>104</v>
      </c>
    </row>
    <row r="109" spans="1:3" x14ac:dyDescent="0.2">
      <c r="A109">
        <v>2004</v>
      </c>
      <c r="B109">
        <v>7500</v>
      </c>
      <c r="C109" t="s">
        <v>104</v>
      </c>
    </row>
    <row r="110" spans="1:3" x14ac:dyDescent="0.2">
      <c r="A110">
        <v>2005</v>
      </c>
      <c r="B110">
        <v>6500</v>
      </c>
      <c r="C110" t="s">
        <v>104</v>
      </c>
    </row>
    <row r="111" spans="1:3" x14ac:dyDescent="0.2">
      <c r="A111">
        <v>2006</v>
      </c>
      <c r="B111">
        <v>6000</v>
      </c>
      <c r="C111" t="s">
        <v>104</v>
      </c>
    </row>
    <row r="112" spans="1:3" x14ac:dyDescent="0.2">
      <c r="A112">
        <v>1988</v>
      </c>
      <c r="B112">
        <v>18000</v>
      </c>
      <c r="C112" t="s">
        <v>107</v>
      </c>
    </row>
    <row r="113" spans="1:3" x14ac:dyDescent="0.2">
      <c r="A113">
        <v>1989</v>
      </c>
      <c r="B113">
        <v>25000</v>
      </c>
      <c r="C113" t="s">
        <v>107</v>
      </c>
    </row>
    <row r="114" spans="1:3" x14ac:dyDescent="0.2">
      <c r="A114">
        <v>1990</v>
      </c>
      <c r="B114">
        <v>22000</v>
      </c>
      <c r="C114" t="s">
        <v>107</v>
      </c>
    </row>
    <row r="115" spans="1:3" x14ac:dyDescent="0.2">
      <c r="A115">
        <v>1991</v>
      </c>
      <c r="B115">
        <v>24000</v>
      </c>
      <c r="C115" t="s">
        <v>107</v>
      </c>
    </row>
    <row r="116" spans="1:3" x14ac:dyDescent="0.2">
      <c r="A116">
        <v>1992</v>
      </c>
      <c r="B116">
        <v>26000</v>
      </c>
      <c r="C116" t="s">
        <v>107</v>
      </c>
    </row>
    <row r="117" spans="1:3" x14ac:dyDescent="0.2">
      <c r="A117">
        <v>1993</v>
      </c>
      <c r="B117">
        <v>26000</v>
      </c>
      <c r="C117" t="s">
        <v>107</v>
      </c>
    </row>
    <row r="118" spans="1:3" x14ac:dyDescent="0.2">
      <c r="A118">
        <v>1994</v>
      </c>
      <c r="B118">
        <v>20000</v>
      </c>
      <c r="C118" t="s">
        <v>107</v>
      </c>
    </row>
    <row r="119" spans="1:3" x14ac:dyDescent="0.2">
      <c r="A119">
        <v>1995</v>
      </c>
      <c r="B119">
        <v>15000</v>
      </c>
      <c r="C119" t="s">
        <v>107</v>
      </c>
    </row>
    <row r="120" spans="1:3" x14ac:dyDescent="0.2">
      <c r="A120">
        <v>1996</v>
      </c>
      <c r="B120">
        <v>15000</v>
      </c>
      <c r="C120" t="s">
        <v>107</v>
      </c>
    </row>
    <row r="121" spans="1:3" x14ac:dyDescent="0.2">
      <c r="A121">
        <v>1997</v>
      </c>
      <c r="B121">
        <v>15000</v>
      </c>
      <c r="C121" t="s">
        <v>107</v>
      </c>
    </row>
    <row r="122" spans="1:3" x14ac:dyDescent="0.2">
      <c r="A122">
        <v>1998</v>
      </c>
      <c r="B122">
        <v>18000</v>
      </c>
      <c r="C122" t="s">
        <v>107</v>
      </c>
    </row>
    <row r="123" spans="1:3" x14ac:dyDescent="0.2">
      <c r="A123">
        <v>1999</v>
      </c>
      <c r="B123">
        <v>17000</v>
      </c>
      <c r="C123" t="s">
        <v>107</v>
      </c>
    </row>
    <row r="124" spans="1:3" x14ac:dyDescent="0.2">
      <c r="A124">
        <v>2000</v>
      </c>
      <c r="B124">
        <v>17000</v>
      </c>
      <c r="C124" t="s">
        <v>107</v>
      </c>
    </row>
    <row r="125" spans="1:3" x14ac:dyDescent="0.2">
      <c r="A125">
        <v>2001</v>
      </c>
      <c r="B125">
        <v>15000</v>
      </c>
      <c r="C125" t="s">
        <v>107</v>
      </c>
    </row>
    <row r="126" spans="1:3" x14ac:dyDescent="0.2">
      <c r="A126">
        <v>2002</v>
      </c>
      <c r="B126">
        <v>13000</v>
      </c>
      <c r="C126" t="s">
        <v>107</v>
      </c>
    </row>
    <row r="127" spans="1:3" x14ac:dyDescent="0.2">
      <c r="A127">
        <v>2003</v>
      </c>
      <c r="B127">
        <v>11500</v>
      </c>
      <c r="C127" t="s">
        <v>107</v>
      </c>
    </row>
    <row r="128" spans="1:3" x14ac:dyDescent="0.2">
      <c r="A128">
        <v>2004</v>
      </c>
      <c r="B128">
        <v>11000</v>
      </c>
      <c r="C128" t="s">
        <v>107</v>
      </c>
    </row>
    <row r="129" spans="1:3" x14ac:dyDescent="0.2">
      <c r="A129">
        <v>2005</v>
      </c>
      <c r="B129">
        <v>9000</v>
      </c>
      <c r="C129" t="s">
        <v>107</v>
      </c>
    </row>
    <row r="130" spans="1:3" x14ac:dyDescent="0.2">
      <c r="A130">
        <v>2006</v>
      </c>
      <c r="B130">
        <v>8500</v>
      </c>
      <c r="C130" t="s">
        <v>107</v>
      </c>
    </row>
    <row r="131" spans="1:3" x14ac:dyDescent="0.2">
      <c r="A131">
        <v>2007</v>
      </c>
      <c r="B131">
        <v>7000</v>
      </c>
      <c r="C131" t="s">
        <v>107</v>
      </c>
    </row>
    <row r="132" spans="1:3" x14ac:dyDescent="0.2">
      <c r="A132">
        <v>2008</v>
      </c>
      <c r="B132">
        <v>6000</v>
      </c>
      <c r="C132" t="s">
        <v>107</v>
      </c>
    </row>
    <row r="133" spans="1:3" x14ac:dyDescent="0.2">
      <c r="A133">
        <v>2009</v>
      </c>
      <c r="B133">
        <v>4500</v>
      </c>
      <c r="C133" t="s">
        <v>107</v>
      </c>
    </row>
    <row r="134" spans="1:3" x14ac:dyDescent="0.2">
      <c r="A134">
        <v>2010</v>
      </c>
      <c r="B134">
        <v>3000</v>
      </c>
      <c r="C134" t="s">
        <v>107</v>
      </c>
    </row>
    <row r="135" spans="1:3" x14ac:dyDescent="0.2">
      <c r="A135">
        <v>2011</v>
      </c>
      <c r="B135">
        <v>1000</v>
      </c>
      <c r="C135" t="s">
        <v>107</v>
      </c>
    </row>
  </sheetData>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2F760D-A5C1-874B-A115-5C2EBCC8E716}">
  <dimension ref="A1:D124"/>
  <sheetViews>
    <sheetView workbookViewId="0">
      <selection activeCell="D129" sqref="D129"/>
    </sheetView>
  </sheetViews>
  <sheetFormatPr baseColWidth="10" defaultRowHeight="16" x14ac:dyDescent="0.2"/>
  <sheetData>
    <row r="1" spans="1:4" x14ac:dyDescent="0.2">
      <c r="A1" t="s">
        <v>701</v>
      </c>
      <c r="B1" t="s">
        <v>274</v>
      </c>
      <c r="C1" t="s">
        <v>393</v>
      </c>
      <c r="D1" t="s">
        <v>702</v>
      </c>
    </row>
    <row r="2" spans="1:4" x14ac:dyDescent="0.2">
      <c r="A2" t="s">
        <v>711</v>
      </c>
      <c r="B2">
        <v>1988</v>
      </c>
      <c r="C2">
        <v>3.05</v>
      </c>
      <c r="D2">
        <v>3.0499999999999999E-2</v>
      </c>
    </row>
    <row r="3" spans="1:4" x14ac:dyDescent="0.2">
      <c r="A3" t="s">
        <v>711</v>
      </c>
      <c r="B3">
        <v>1992</v>
      </c>
      <c r="C3">
        <v>11.8</v>
      </c>
      <c r="D3">
        <v>0.11799999999999999</v>
      </c>
    </row>
    <row r="4" spans="1:4" x14ac:dyDescent="0.2">
      <c r="A4" t="s">
        <v>711</v>
      </c>
      <c r="B4">
        <v>1996</v>
      </c>
      <c r="C4">
        <v>9.1</v>
      </c>
      <c r="D4">
        <v>9.0999999999999998E-2</v>
      </c>
    </row>
    <row r="5" spans="1:4" x14ac:dyDescent="0.2">
      <c r="A5" t="s">
        <v>711</v>
      </c>
      <c r="B5">
        <v>2001</v>
      </c>
      <c r="C5">
        <v>4.55</v>
      </c>
      <c r="D5">
        <v>4.5499999999999999E-2</v>
      </c>
    </row>
    <row r="6" spans="1:4" x14ac:dyDescent="0.2">
      <c r="A6" t="s">
        <v>711</v>
      </c>
      <c r="B6">
        <v>2006</v>
      </c>
      <c r="C6">
        <v>3.27</v>
      </c>
      <c r="D6">
        <v>3.27E-2</v>
      </c>
    </row>
    <row r="7" spans="1:4" x14ac:dyDescent="0.2">
      <c r="A7" t="s">
        <v>711</v>
      </c>
      <c r="B7">
        <v>2011</v>
      </c>
      <c r="C7">
        <v>2.11</v>
      </c>
      <c r="D7">
        <v>2.1100000000000001E-2</v>
      </c>
    </row>
    <row r="8" spans="1:4" x14ac:dyDescent="0.2">
      <c r="A8" t="s">
        <v>711</v>
      </c>
      <c r="B8">
        <v>2016</v>
      </c>
      <c r="C8">
        <v>15.5</v>
      </c>
      <c r="D8">
        <v>0.155</v>
      </c>
    </row>
    <row r="9" spans="1:4" x14ac:dyDescent="0.2">
      <c r="A9" t="s">
        <v>712</v>
      </c>
      <c r="B9">
        <v>1986</v>
      </c>
      <c r="C9">
        <v>3.53</v>
      </c>
      <c r="D9">
        <v>3.5299999999999998E-2</v>
      </c>
    </row>
    <row r="10" spans="1:4" x14ac:dyDescent="0.2">
      <c r="A10" t="s">
        <v>712</v>
      </c>
      <c r="B10">
        <v>1990</v>
      </c>
      <c r="C10">
        <v>4.8499999999999996</v>
      </c>
      <c r="D10">
        <v>4.8500000000000001E-2</v>
      </c>
    </row>
    <row r="11" spans="1:4" x14ac:dyDescent="0.2">
      <c r="A11" t="s">
        <v>712</v>
      </c>
      <c r="B11">
        <v>1994</v>
      </c>
      <c r="C11">
        <v>3.99</v>
      </c>
      <c r="D11">
        <v>3.9899999999999998E-2</v>
      </c>
    </row>
    <row r="12" spans="1:4" x14ac:dyDescent="0.2">
      <c r="A12" t="s">
        <v>712</v>
      </c>
      <c r="B12">
        <v>1998</v>
      </c>
      <c r="C12">
        <v>3.79</v>
      </c>
      <c r="D12">
        <v>3.7900000000000003E-2</v>
      </c>
    </row>
    <row r="13" spans="1:4" x14ac:dyDescent="0.2">
      <c r="A13" t="s">
        <v>712</v>
      </c>
      <c r="B13">
        <v>2003</v>
      </c>
      <c r="C13">
        <v>2.2400000000000002</v>
      </c>
      <c r="D13">
        <v>2.24E-2</v>
      </c>
    </row>
    <row r="14" spans="1:4" x14ac:dyDescent="0.2">
      <c r="A14" t="s">
        <v>712</v>
      </c>
      <c r="B14">
        <v>2008</v>
      </c>
      <c r="C14">
        <v>2.6</v>
      </c>
      <c r="D14">
        <v>2.5999999999999999E-2</v>
      </c>
    </row>
    <row r="15" spans="1:4" x14ac:dyDescent="0.2">
      <c r="A15" t="s">
        <v>712</v>
      </c>
      <c r="B15">
        <v>2013</v>
      </c>
      <c r="C15">
        <v>1.6</v>
      </c>
      <c r="D15">
        <v>1.6E-2</v>
      </c>
    </row>
    <row r="16" spans="1:4" x14ac:dyDescent="0.2">
      <c r="A16" t="s">
        <v>712</v>
      </c>
      <c r="B16">
        <v>2018</v>
      </c>
      <c r="C16">
        <v>10.199999999999999</v>
      </c>
      <c r="D16">
        <v>0.10199999999999999</v>
      </c>
    </row>
    <row r="17" spans="1:4" x14ac:dyDescent="0.2">
      <c r="A17" t="s">
        <v>91</v>
      </c>
      <c r="B17">
        <v>1989</v>
      </c>
      <c r="C17">
        <v>7.5</v>
      </c>
      <c r="D17">
        <v>7.4999999999999997E-2</v>
      </c>
    </row>
    <row r="18" spans="1:4" x14ac:dyDescent="0.2">
      <c r="A18" t="s">
        <v>91</v>
      </c>
      <c r="B18">
        <v>1990</v>
      </c>
      <c r="C18">
        <v>3.1</v>
      </c>
      <c r="D18">
        <v>3.1E-2</v>
      </c>
    </row>
    <row r="19" spans="1:4" x14ac:dyDescent="0.2">
      <c r="A19" t="s">
        <v>91</v>
      </c>
      <c r="B19">
        <v>1995</v>
      </c>
      <c r="C19">
        <v>2.7</v>
      </c>
      <c r="D19">
        <v>2.7E-2</v>
      </c>
    </row>
    <row r="20" spans="1:4" x14ac:dyDescent="0.2">
      <c r="A20" t="s">
        <v>91</v>
      </c>
      <c r="B20">
        <v>1999</v>
      </c>
      <c r="C20">
        <v>3.5</v>
      </c>
      <c r="D20">
        <v>3.5000000000000003E-2</v>
      </c>
    </row>
    <row r="21" spans="1:4" x14ac:dyDescent="0.2">
      <c r="A21" t="s">
        <v>91</v>
      </c>
      <c r="B21">
        <v>2001</v>
      </c>
      <c r="C21">
        <v>2.2000000000000002</v>
      </c>
      <c r="D21">
        <v>2.1999999999999999E-2</v>
      </c>
    </row>
    <row r="22" spans="1:4" x14ac:dyDescent="0.2">
      <c r="A22" t="s">
        <v>91</v>
      </c>
      <c r="B22">
        <v>2005</v>
      </c>
      <c r="C22">
        <v>3.5</v>
      </c>
      <c r="D22">
        <v>3.5000000000000003E-2</v>
      </c>
    </row>
    <row r="23" spans="1:4" x14ac:dyDescent="0.2">
      <c r="A23" t="s">
        <v>91</v>
      </c>
      <c r="B23">
        <v>2011</v>
      </c>
      <c r="C23">
        <v>2.1</v>
      </c>
      <c r="D23">
        <v>2.1000000000000001E-2</v>
      </c>
    </row>
    <row r="24" spans="1:4" x14ac:dyDescent="0.2">
      <c r="A24" t="s">
        <v>91</v>
      </c>
      <c r="B24">
        <v>2016</v>
      </c>
      <c r="C24">
        <v>14.2</v>
      </c>
      <c r="D24">
        <v>0.14199999999999999</v>
      </c>
    </row>
    <row r="25" spans="1:4" x14ac:dyDescent="0.2">
      <c r="A25" t="s">
        <v>713</v>
      </c>
      <c r="B25">
        <v>1990</v>
      </c>
      <c r="C25">
        <v>1.28</v>
      </c>
      <c r="D25">
        <v>1.2800000000000001E-2</v>
      </c>
    </row>
    <row r="26" spans="1:4" x14ac:dyDescent="0.2">
      <c r="A26" t="s">
        <v>713</v>
      </c>
      <c r="B26">
        <v>1994</v>
      </c>
      <c r="C26">
        <v>1.1000000000000001</v>
      </c>
      <c r="D26">
        <v>1.0999999999999999E-2</v>
      </c>
    </row>
    <row r="27" spans="1:4" x14ac:dyDescent="0.2">
      <c r="A27" t="s">
        <v>713</v>
      </c>
      <c r="B27">
        <v>1999</v>
      </c>
      <c r="C27">
        <v>6.02</v>
      </c>
      <c r="D27">
        <v>6.0199999999999997E-2</v>
      </c>
    </row>
    <row r="28" spans="1:4" x14ac:dyDescent="0.2">
      <c r="A28" t="s">
        <v>713</v>
      </c>
      <c r="B28">
        <v>2004</v>
      </c>
      <c r="C28">
        <v>6.08</v>
      </c>
      <c r="D28">
        <v>6.08E-2</v>
      </c>
    </row>
    <row r="29" spans="1:4" x14ac:dyDescent="0.2">
      <c r="A29" t="s">
        <v>713</v>
      </c>
      <c r="B29">
        <v>2009</v>
      </c>
      <c r="C29">
        <v>1.3</v>
      </c>
      <c r="D29">
        <v>1.2999999999999999E-2</v>
      </c>
    </row>
    <row r="30" spans="1:4" x14ac:dyDescent="0.2">
      <c r="A30" t="s">
        <v>713</v>
      </c>
      <c r="B30">
        <v>2014</v>
      </c>
      <c r="C30">
        <v>14.6</v>
      </c>
      <c r="D30">
        <v>0.14599999999999999</v>
      </c>
    </row>
    <row r="31" spans="1:4" x14ac:dyDescent="0.2">
      <c r="A31" t="s">
        <v>713</v>
      </c>
      <c r="B31">
        <v>2019</v>
      </c>
      <c r="C31">
        <v>23.5</v>
      </c>
      <c r="D31">
        <v>0.23499999999999999</v>
      </c>
    </row>
    <row r="32" spans="1:4" x14ac:dyDescent="0.2">
      <c r="A32" t="s">
        <v>714</v>
      </c>
      <c r="B32">
        <v>1987</v>
      </c>
      <c r="C32">
        <v>1.2</v>
      </c>
      <c r="D32">
        <v>1.2E-2</v>
      </c>
    </row>
    <row r="33" spans="1:4" x14ac:dyDescent="0.2">
      <c r="A33" t="s">
        <v>714</v>
      </c>
      <c r="B33">
        <v>1991</v>
      </c>
      <c r="C33">
        <v>7.7</v>
      </c>
      <c r="D33">
        <v>7.6999999999999999E-2</v>
      </c>
    </row>
    <row r="34" spans="1:4" x14ac:dyDescent="0.2">
      <c r="A34" t="s">
        <v>714</v>
      </c>
      <c r="B34">
        <v>1995</v>
      </c>
      <c r="C34">
        <v>2.9</v>
      </c>
      <c r="D34">
        <v>2.9000000000000001E-2</v>
      </c>
    </row>
    <row r="35" spans="1:4" x14ac:dyDescent="0.2">
      <c r="A35" t="s">
        <v>714</v>
      </c>
      <c r="B35">
        <v>1999</v>
      </c>
      <c r="C35">
        <v>3.3</v>
      </c>
      <c r="D35">
        <v>3.3000000000000002E-2</v>
      </c>
    </row>
    <row r="36" spans="1:4" x14ac:dyDescent="0.2">
      <c r="A36" t="s">
        <v>714</v>
      </c>
      <c r="B36">
        <v>2003</v>
      </c>
      <c r="C36">
        <v>2.2999999999999998</v>
      </c>
      <c r="D36">
        <v>2.3E-2</v>
      </c>
    </row>
    <row r="37" spans="1:4" x14ac:dyDescent="0.2">
      <c r="A37" t="s">
        <v>714</v>
      </c>
      <c r="B37">
        <v>2007</v>
      </c>
      <c r="C37">
        <v>3.25</v>
      </c>
      <c r="D37">
        <v>3.2500000000000001E-2</v>
      </c>
    </row>
    <row r="38" spans="1:4" x14ac:dyDescent="0.2">
      <c r="A38" t="s">
        <v>714</v>
      </c>
      <c r="B38">
        <v>2011</v>
      </c>
      <c r="C38">
        <v>1.6</v>
      </c>
      <c r="D38">
        <v>1.6E-2</v>
      </c>
    </row>
    <row r="39" spans="1:4" x14ac:dyDescent="0.2">
      <c r="A39" t="s">
        <v>714</v>
      </c>
      <c r="B39">
        <v>2015</v>
      </c>
      <c r="C39">
        <v>5.7</v>
      </c>
      <c r="D39">
        <v>5.7000000000000002E-2</v>
      </c>
    </row>
    <row r="40" spans="1:4" x14ac:dyDescent="0.2">
      <c r="A40" t="s">
        <v>714</v>
      </c>
      <c r="B40">
        <v>2019</v>
      </c>
      <c r="C40">
        <v>6.1</v>
      </c>
      <c r="D40">
        <v>6.0999999999999999E-2</v>
      </c>
    </row>
    <row r="41" spans="1:4" x14ac:dyDescent="0.2">
      <c r="A41" t="s">
        <v>96</v>
      </c>
      <c r="B41">
        <v>1987</v>
      </c>
      <c r="C41">
        <v>0.4</v>
      </c>
      <c r="D41">
        <v>4.0000000000000001E-3</v>
      </c>
    </row>
    <row r="42" spans="1:4" x14ac:dyDescent="0.2">
      <c r="A42" t="s">
        <v>96</v>
      </c>
      <c r="B42">
        <v>1991</v>
      </c>
      <c r="C42">
        <v>1.2</v>
      </c>
      <c r="D42">
        <v>1.2E-2</v>
      </c>
    </row>
    <row r="43" spans="1:4" x14ac:dyDescent="0.2">
      <c r="A43" t="s">
        <v>96</v>
      </c>
      <c r="B43">
        <v>1993</v>
      </c>
      <c r="C43">
        <v>1.2</v>
      </c>
      <c r="D43">
        <v>1.2E-2</v>
      </c>
    </row>
    <row r="44" spans="1:4" x14ac:dyDescent="0.2">
      <c r="A44" t="s">
        <v>96</v>
      </c>
      <c r="B44">
        <v>1997</v>
      </c>
      <c r="C44">
        <v>4.5999999999999996</v>
      </c>
      <c r="D44">
        <v>4.5999999999999999E-2</v>
      </c>
    </row>
    <row r="45" spans="1:4" x14ac:dyDescent="0.2">
      <c r="A45" t="s">
        <v>96</v>
      </c>
      <c r="B45">
        <v>2001</v>
      </c>
      <c r="C45">
        <v>0.8</v>
      </c>
      <c r="D45">
        <v>8.0000000000000002E-3</v>
      </c>
    </row>
    <row r="46" spans="1:4" x14ac:dyDescent="0.2">
      <c r="A46" t="s">
        <v>96</v>
      </c>
      <c r="B46">
        <v>2004</v>
      </c>
      <c r="C46">
        <v>0.3</v>
      </c>
      <c r="D46">
        <v>3.0000000000000001E-3</v>
      </c>
    </row>
    <row r="47" spans="1:4" x14ac:dyDescent="0.2">
      <c r="A47" t="s">
        <v>96</v>
      </c>
      <c r="B47">
        <v>2008</v>
      </c>
      <c r="C47">
        <v>0.8</v>
      </c>
      <c r="D47">
        <v>8.0000000000000002E-3</v>
      </c>
    </row>
    <row r="48" spans="1:4" x14ac:dyDescent="0.2">
      <c r="A48" t="s">
        <v>96</v>
      </c>
      <c r="B48">
        <v>2011</v>
      </c>
      <c r="C48">
        <v>0.9</v>
      </c>
      <c r="D48">
        <v>8.9999999999999993E-3</v>
      </c>
    </row>
    <row r="49" spans="1:4" x14ac:dyDescent="0.2">
      <c r="A49" t="s">
        <v>96</v>
      </c>
      <c r="B49">
        <v>2015</v>
      </c>
      <c r="C49">
        <v>6.5</v>
      </c>
      <c r="D49">
        <v>6.5000000000000002E-2</v>
      </c>
    </row>
    <row r="50" spans="1:4" x14ac:dyDescent="0.2">
      <c r="A50" t="s">
        <v>715</v>
      </c>
      <c r="B50">
        <v>1987</v>
      </c>
      <c r="C50">
        <v>0</v>
      </c>
      <c r="D50">
        <v>0</v>
      </c>
    </row>
    <row r="51" spans="1:4" x14ac:dyDescent="0.2">
      <c r="A51" t="s">
        <v>715</v>
      </c>
      <c r="B51">
        <v>1991</v>
      </c>
      <c r="C51">
        <v>1.66</v>
      </c>
      <c r="D51">
        <v>1.66E-2</v>
      </c>
    </row>
    <row r="52" spans="1:4" x14ac:dyDescent="0.2">
      <c r="A52" t="s">
        <v>715</v>
      </c>
      <c r="B52">
        <v>1995</v>
      </c>
      <c r="C52">
        <v>2.2599999999999998</v>
      </c>
      <c r="D52">
        <v>2.2599999999999999E-2</v>
      </c>
    </row>
    <row r="53" spans="1:4" x14ac:dyDescent="0.2">
      <c r="A53" t="s">
        <v>715</v>
      </c>
      <c r="B53">
        <v>1999</v>
      </c>
      <c r="C53">
        <v>2.89</v>
      </c>
      <c r="D53">
        <v>2.8899999999999999E-2</v>
      </c>
    </row>
    <row r="54" spans="1:4" x14ac:dyDescent="0.2">
      <c r="A54" t="s">
        <v>715</v>
      </c>
      <c r="B54">
        <v>2003</v>
      </c>
      <c r="C54">
        <v>1.3</v>
      </c>
      <c r="D54">
        <v>1.2999999999999999E-2</v>
      </c>
    </row>
    <row r="55" spans="1:4" x14ac:dyDescent="0.2">
      <c r="A55" t="s">
        <v>715</v>
      </c>
      <c r="B55">
        <v>2008</v>
      </c>
      <c r="C55">
        <v>2.89</v>
      </c>
      <c r="D55">
        <v>1.89E-2</v>
      </c>
    </row>
    <row r="56" spans="1:4" x14ac:dyDescent="0.2">
      <c r="A56" t="s">
        <v>715</v>
      </c>
      <c r="B56">
        <v>2009</v>
      </c>
      <c r="C56">
        <v>1.46</v>
      </c>
      <c r="D56">
        <v>1.46E-2</v>
      </c>
    </row>
    <row r="57" spans="1:4" x14ac:dyDescent="0.2">
      <c r="A57" t="s">
        <v>715</v>
      </c>
      <c r="B57">
        <v>2013</v>
      </c>
      <c r="C57">
        <v>5.42</v>
      </c>
      <c r="D57">
        <v>5.4199999999999998E-2</v>
      </c>
    </row>
    <row r="58" spans="1:4" x14ac:dyDescent="0.2">
      <c r="A58" t="s">
        <v>715</v>
      </c>
      <c r="B58">
        <v>2018</v>
      </c>
      <c r="C58">
        <v>13.3</v>
      </c>
      <c r="D58">
        <v>0.13300000000000001</v>
      </c>
    </row>
    <row r="59" spans="1:4" x14ac:dyDescent="0.2">
      <c r="A59" t="s">
        <v>716</v>
      </c>
      <c r="B59">
        <v>1990</v>
      </c>
      <c r="C59">
        <v>1.02</v>
      </c>
      <c r="D59">
        <v>1.0200000000000001E-2</v>
      </c>
    </row>
    <row r="60" spans="1:4" x14ac:dyDescent="0.2">
      <c r="A60" t="s">
        <v>716</v>
      </c>
      <c r="B60">
        <v>1994</v>
      </c>
      <c r="C60">
        <v>1.1000000000000001</v>
      </c>
      <c r="D60">
        <v>1.0999999999999999E-2</v>
      </c>
    </row>
    <row r="61" spans="1:4" x14ac:dyDescent="0.2">
      <c r="A61" t="s">
        <v>716</v>
      </c>
      <c r="B61">
        <v>1998</v>
      </c>
      <c r="C61">
        <v>1.6</v>
      </c>
      <c r="D61">
        <v>1.6E-2</v>
      </c>
    </row>
    <row r="62" spans="1:4" x14ac:dyDescent="0.2">
      <c r="A62" t="s">
        <v>716</v>
      </c>
      <c r="B62">
        <v>2002</v>
      </c>
      <c r="C62">
        <v>1.1000000000000001</v>
      </c>
      <c r="D62">
        <v>1.0999999999999999E-2</v>
      </c>
    </row>
    <row r="63" spans="1:4" x14ac:dyDescent="0.2">
      <c r="A63" t="s">
        <v>716</v>
      </c>
      <c r="B63">
        <v>2006</v>
      </c>
      <c r="C63">
        <v>7.3</v>
      </c>
      <c r="D63">
        <v>7.2999999999999995E-2</v>
      </c>
    </row>
    <row r="64" spans="1:4" x14ac:dyDescent="0.2">
      <c r="A64" t="s">
        <v>716</v>
      </c>
      <c r="B64">
        <v>2011</v>
      </c>
      <c r="C64">
        <v>6.1</v>
      </c>
      <c r="D64">
        <v>6.0999999999999999E-2</v>
      </c>
    </row>
    <row r="65" spans="1:4" x14ac:dyDescent="0.2">
      <c r="A65" t="s">
        <v>716</v>
      </c>
      <c r="B65">
        <v>2016</v>
      </c>
      <c r="C65">
        <v>24.9</v>
      </c>
      <c r="D65">
        <v>0.249</v>
      </c>
    </row>
    <row r="66" spans="1:4" x14ac:dyDescent="0.2">
      <c r="A66" t="s">
        <v>717</v>
      </c>
      <c r="B66">
        <v>1990</v>
      </c>
      <c r="C66">
        <v>1.67</v>
      </c>
      <c r="D66">
        <v>1.67E-2</v>
      </c>
    </row>
    <row r="67" spans="1:4" x14ac:dyDescent="0.2">
      <c r="A67" t="s">
        <v>717</v>
      </c>
      <c r="B67">
        <v>1994</v>
      </c>
      <c r="C67">
        <v>3.96</v>
      </c>
      <c r="D67">
        <v>3.9600000000000003E-2</v>
      </c>
    </row>
    <row r="68" spans="1:4" x14ac:dyDescent="0.2">
      <c r="A68" t="s">
        <v>717</v>
      </c>
      <c r="B68">
        <v>1998</v>
      </c>
      <c r="C68">
        <v>2.76</v>
      </c>
      <c r="D68">
        <v>2.76E-2</v>
      </c>
    </row>
    <row r="69" spans="1:4" x14ac:dyDescent="0.2">
      <c r="A69" t="s">
        <v>717</v>
      </c>
      <c r="B69">
        <v>2003</v>
      </c>
      <c r="C69">
        <v>0.43</v>
      </c>
      <c r="D69">
        <v>4.3E-3</v>
      </c>
    </row>
    <row r="70" spans="1:4" x14ac:dyDescent="0.2">
      <c r="A70" t="s">
        <v>717</v>
      </c>
      <c r="B70">
        <v>2008</v>
      </c>
      <c r="C70">
        <v>1.5</v>
      </c>
      <c r="D70">
        <v>1.4999999999999999E-2</v>
      </c>
    </row>
    <row r="71" spans="1:4" x14ac:dyDescent="0.2">
      <c r="A71" t="s">
        <v>717</v>
      </c>
      <c r="B71">
        <v>2013</v>
      </c>
      <c r="C71">
        <v>0.2</v>
      </c>
      <c r="D71">
        <v>2E-3</v>
      </c>
    </row>
    <row r="72" spans="1:4" x14ac:dyDescent="0.2">
      <c r="A72" t="s">
        <v>717</v>
      </c>
      <c r="B72">
        <v>2017</v>
      </c>
      <c r="C72">
        <v>6.2</v>
      </c>
      <c r="D72">
        <v>6.2E-2</v>
      </c>
    </row>
    <row r="73" spans="1:4" x14ac:dyDescent="0.2">
      <c r="A73" t="s">
        <v>718</v>
      </c>
      <c r="B73">
        <v>1985</v>
      </c>
      <c r="C73">
        <v>0.01</v>
      </c>
      <c r="D73">
        <v>1E-4</v>
      </c>
    </row>
    <row r="74" spans="1:4" x14ac:dyDescent="0.2">
      <c r="A74" t="s">
        <v>718</v>
      </c>
      <c r="B74">
        <v>1990</v>
      </c>
      <c r="C74">
        <v>1.89</v>
      </c>
      <c r="D74">
        <v>1.89E-2</v>
      </c>
    </row>
    <row r="75" spans="1:4" x14ac:dyDescent="0.2">
      <c r="A75" t="s">
        <v>718</v>
      </c>
      <c r="B75">
        <v>1995</v>
      </c>
      <c r="C75">
        <v>0.79</v>
      </c>
      <c r="D75">
        <v>7.9000000000000008E-3</v>
      </c>
    </row>
    <row r="76" spans="1:4" x14ac:dyDescent="0.2">
      <c r="A76" t="s">
        <v>718</v>
      </c>
      <c r="B76">
        <v>2000</v>
      </c>
      <c r="C76">
        <v>1.17</v>
      </c>
      <c r="D76">
        <v>1.17E-2</v>
      </c>
    </row>
    <row r="77" spans="1:4" x14ac:dyDescent="0.2">
      <c r="A77" t="s">
        <v>718</v>
      </c>
      <c r="B77">
        <v>2005</v>
      </c>
      <c r="C77">
        <v>1.72</v>
      </c>
      <c r="D77">
        <v>1.72E-2</v>
      </c>
    </row>
    <row r="78" spans="1:4" x14ac:dyDescent="0.2">
      <c r="A78" t="s">
        <v>718</v>
      </c>
      <c r="B78">
        <v>2010</v>
      </c>
      <c r="C78">
        <v>1.01</v>
      </c>
      <c r="D78">
        <v>1.01E-2</v>
      </c>
    </row>
    <row r="79" spans="1:4" x14ac:dyDescent="0.2">
      <c r="A79" t="s">
        <v>718</v>
      </c>
      <c r="B79">
        <v>2012</v>
      </c>
      <c r="C79">
        <v>0.5</v>
      </c>
      <c r="D79">
        <v>5.0000000000000001E-3</v>
      </c>
    </row>
    <row r="80" spans="1:4" x14ac:dyDescent="0.2">
      <c r="A80" t="s">
        <v>718</v>
      </c>
      <c r="B80">
        <v>2017</v>
      </c>
      <c r="C80">
        <v>7.8</v>
      </c>
      <c r="D80">
        <v>7.8E-2</v>
      </c>
    </row>
    <row r="81" spans="1:4" x14ac:dyDescent="0.2">
      <c r="A81" t="s">
        <v>719</v>
      </c>
      <c r="B81">
        <v>1987</v>
      </c>
      <c r="C81">
        <v>0.84</v>
      </c>
      <c r="D81">
        <v>8.3999999999999995E-3</v>
      </c>
    </row>
    <row r="82" spans="1:4" x14ac:dyDescent="0.2">
      <c r="A82" t="s">
        <v>719</v>
      </c>
      <c r="B82">
        <v>1991</v>
      </c>
      <c r="C82">
        <v>2.0499999999999998</v>
      </c>
      <c r="D82">
        <v>2.0500000000000001E-2</v>
      </c>
    </row>
    <row r="83" spans="1:4" x14ac:dyDescent="0.2">
      <c r="A83" t="s">
        <v>719</v>
      </c>
      <c r="B83">
        <v>1996</v>
      </c>
      <c r="C83">
        <v>3.83</v>
      </c>
      <c r="D83">
        <v>3.8300000000000001E-2</v>
      </c>
    </row>
    <row r="84" spans="1:4" x14ac:dyDescent="0.2">
      <c r="A84" t="s">
        <v>719</v>
      </c>
      <c r="B84">
        <v>2001</v>
      </c>
      <c r="C84">
        <v>2.93</v>
      </c>
      <c r="D84">
        <v>2.93E-2</v>
      </c>
    </row>
    <row r="85" spans="1:4" x14ac:dyDescent="0.2">
      <c r="A85" t="s">
        <v>719</v>
      </c>
      <c r="B85">
        <v>2006</v>
      </c>
      <c r="C85">
        <v>2.91</v>
      </c>
      <c r="D85">
        <v>2.9100000000000001E-2</v>
      </c>
    </row>
    <row r="86" spans="1:4" x14ac:dyDescent="0.2">
      <c r="A86" t="s">
        <v>719</v>
      </c>
      <c r="B86">
        <v>2011</v>
      </c>
      <c r="C86">
        <v>1.94</v>
      </c>
      <c r="D86">
        <v>1.9400000000000001E-2</v>
      </c>
    </row>
    <row r="87" spans="1:4" x14ac:dyDescent="0.2">
      <c r="A87" t="s">
        <v>719</v>
      </c>
      <c r="B87">
        <v>2016</v>
      </c>
      <c r="C87">
        <v>13.35</v>
      </c>
      <c r="D87">
        <v>0.13350000000000001</v>
      </c>
    </row>
    <row r="88" spans="1:4" x14ac:dyDescent="0.2">
      <c r="A88" t="s">
        <v>720</v>
      </c>
      <c r="B88">
        <v>1985</v>
      </c>
      <c r="C88">
        <v>0.7</v>
      </c>
      <c r="D88">
        <v>7.0000000000000001E-3</v>
      </c>
    </row>
    <row r="89" spans="1:4" x14ac:dyDescent="0.2">
      <c r="A89" t="s">
        <v>720</v>
      </c>
      <c r="B89">
        <v>1990</v>
      </c>
      <c r="C89">
        <v>3.6</v>
      </c>
      <c r="D89">
        <v>3.5999999999999997E-2</v>
      </c>
    </row>
    <row r="90" spans="1:4" x14ac:dyDescent="0.2">
      <c r="A90" t="s">
        <v>720</v>
      </c>
      <c r="B90">
        <v>1994</v>
      </c>
      <c r="C90">
        <v>1.4</v>
      </c>
      <c r="D90">
        <v>1.4E-2</v>
      </c>
    </row>
    <row r="91" spans="1:4" x14ac:dyDescent="0.2">
      <c r="A91" t="s">
        <v>720</v>
      </c>
      <c r="B91">
        <v>1999</v>
      </c>
      <c r="C91">
        <v>1.3</v>
      </c>
      <c r="D91">
        <v>1.2999999999999999E-2</v>
      </c>
    </row>
    <row r="92" spans="1:4" x14ac:dyDescent="0.2">
      <c r="A92" t="s">
        <v>720</v>
      </c>
      <c r="B92">
        <v>2004</v>
      </c>
      <c r="C92">
        <v>4</v>
      </c>
      <c r="D92">
        <v>0.04</v>
      </c>
    </row>
    <row r="93" spans="1:4" x14ac:dyDescent="0.2">
      <c r="A93" t="s">
        <v>720</v>
      </c>
      <c r="B93">
        <v>2009</v>
      </c>
      <c r="C93">
        <v>1.5</v>
      </c>
      <c r="D93">
        <v>1.4999999999999999E-2</v>
      </c>
    </row>
    <row r="94" spans="1:4" x14ac:dyDescent="0.2">
      <c r="A94" t="s">
        <v>720</v>
      </c>
      <c r="B94">
        <v>2012</v>
      </c>
      <c r="C94">
        <v>1.2</v>
      </c>
      <c r="D94">
        <v>1.2E-2</v>
      </c>
    </row>
    <row r="95" spans="1:4" x14ac:dyDescent="0.2">
      <c r="A95" t="s">
        <v>720</v>
      </c>
      <c r="B95">
        <v>2017</v>
      </c>
      <c r="C95">
        <v>6.88</v>
      </c>
      <c r="D95">
        <v>6.88E-2</v>
      </c>
    </row>
    <row r="96" spans="1:4" x14ac:dyDescent="0.2">
      <c r="A96" t="s">
        <v>123</v>
      </c>
      <c r="B96">
        <v>1990</v>
      </c>
      <c r="C96">
        <v>0.7</v>
      </c>
      <c r="D96">
        <v>7.0000000000000001E-3</v>
      </c>
    </row>
    <row r="97" spans="1:4" x14ac:dyDescent="0.2">
      <c r="A97" t="s">
        <v>123</v>
      </c>
      <c r="B97">
        <v>1994</v>
      </c>
      <c r="C97">
        <v>1.3</v>
      </c>
      <c r="D97">
        <v>1.2999999999999999E-2</v>
      </c>
    </row>
    <row r="98" spans="1:4" x14ac:dyDescent="0.2">
      <c r="A98" t="s">
        <v>123</v>
      </c>
      <c r="B98">
        <v>1999</v>
      </c>
      <c r="C98">
        <v>2.9</v>
      </c>
      <c r="D98">
        <v>2.9000000000000001E-2</v>
      </c>
    </row>
    <row r="99" spans="1:4" x14ac:dyDescent="0.2">
      <c r="A99" t="s">
        <v>123</v>
      </c>
      <c r="B99">
        <v>2004</v>
      </c>
      <c r="C99">
        <v>9.1999999999999993</v>
      </c>
      <c r="D99">
        <v>9.1999999999999998E-2</v>
      </c>
    </row>
    <row r="100" spans="1:4" x14ac:dyDescent="0.2">
      <c r="A100" t="s">
        <v>123</v>
      </c>
      <c r="B100">
        <v>2009</v>
      </c>
      <c r="C100">
        <v>5.8</v>
      </c>
      <c r="D100">
        <v>5.8000000000000003E-2</v>
      </c>
    </row>
    <row r="101" spans="1:4" x14ac:dyDescent="0.2">
      <c r="A101" t="s">
        <v>123</v>
      </c>
      <c r="B101">
        <v>2014</v>
      </c>
      <c r="C101">
        <v>14.6</v>
      </c>
      <c r="D101">
        <v>0.14599999999999999</v>
      </c>
    </row>
    <row r="102" spans="1:4" x14ac:dyDescent="0.2">
      <c r="A102" t="s">
        <v>123</v>
      </c>
      <c r="B102">
        <v>2019</v>
      </c>
      <c r="C102">
        <v>27.5</v>
      </c>
      <c r="D102">
        <v>0.27500000000000002</v>
      </c>
    </row>
    <row r="103" spans="1:4" x14ac:dyDescent="0.2">
      <c r="A103" t="s">
        <v>721</v>
      </c>
      <c r="B103">
        <v>1990</v>
      </c>
      <c r="C103">
        <v>0.78</v>
      </c>
      <c r="D103">
        <v>7.7999999999999996E-3</v>
      </c>
    </row>
    <row r="104" spans="1:4" x14ac:dyDescent="0.2">
      <c r="A104" t="s">
        <v>721</v>
      </c>
      <c r="B104">
        <v>1994</v>
      </c>
      <c r="C104">
        <v>1.4</v>
      </c>
      <c r="D104">
        <v>1.4E-2</v>
      </c>
    </row>
    <row r="105" spans="1:4" x14ac:dyDescent="0.2">
      <c r="A105" t="s">
        <v>721</v>
      </c>
      <c r="B105">
        <v>1998</v>
      </c>
      <c r="C105">
        <v>13.6</v>
      </c>
      <c r="D105">
        <v>0.13600000000000001</v>
      </c>
    </row>
    <row r="106" spans="1:4" x14ac:dyDescent="0.2">
      <c r="A106" t="s">
        <v>721</v>
      </c>
      <c r="B106">
        <v>2002</v>
      </c>
      <c r="C106">
        <v>0</v>
      </c>
      <c r="D106">
        <v>0</v>
      </c>
    </row>
    <row r="107" spans="1:4" x14ac:dyDescent="0.2">
      <c r="A107" t="s">
        <v>721</v>
      </c>
      <c r="B107">
        <v>2006</v>
      </c>
      <c r="C107">
        <v>3.46</v>
      </c>
      <c r="D107">
        <v>3.4599999999999999E-2</v>
      </c>
    </row>
    <row r="108" spans="1:4" x14ac:dyDescent="0.2">
      <c r="A108" t="s">
        <v>721</v>
      </c>
      <c r="B108">
        <v>2011</v>
      </c>
      <c r="C108">
        <v>4.5999999999999996</v>
      </c>
      <c r="D108">
        <v>4.5999999999999999E-2</v>
      </c>
    </row>
    <row r="109" spans="1:4" x14ac:dyDescent="0.2">
      <c r="A109" t="s">
        <v>721</v>
      </c>
      <c r="B109">
        <v>2016</v>
      </c>
      <c r="C109">
        <v>26.2</v>
      </c>
      <c r="D109">
        <v>0.26200000000000001</v>
      </c>
    </row>
    <row r="110" spans="1:4" x14ac:dyDescent="0.2">
      <c r="A110" t="s">
        <v>722</v>
      </c>
      <c r="B110">
        <v>1988</v>
      </c>
      <c r="C110">
        <v>1.77</v>
      </c>
      <c r="D110">
        <v>1.77E-2</v>
      </c>
    </row>
    <row r="111" spans="1:4" x14ac:dyDescent="0.2">
      <c r="A111" t="s">
        <v>722</v>
      </c>
      <c r="B111">
        <v>1992</v>
      </c>
      <c r="C111">
        <v>7.5</v>
      </c>
      <c r="D111">
        <v>7.4999999999999997E-2</v>
      </c>
    </row>
    <row r="112" spans="1:4" x14ac:dyDescent="0.2">
      <c r="A112" t="s">
        <v>722</v>
      </c>
      <c r="B112">
        <v>1996</v>
      </c>
      <c r="C112">
        <v>4.28</v>
      </c>
      <c r="D112">
        <v>4.2799999999999998E-2</v>
      </c>
    </row>
    <row r="113" spans="1:4" x14ac:dyDescent="0.2">
      <c r="A113" t="s">
        <v>722</v>
      </c>
      <c r="B113">
        <v>2000</v>
      </c>
      <c r="C113">
        <v>1.03</v>
      </c>
      <c r="D113">
        <v>1.03E-2</v>
      </c>
    </row>
    <row r="114" spans="1:4" x14ac:dyDescent="0.2">
      <c r="A114" t="s">
        <v>722</v>
      </c>
      <c r="B114">
        <v>2005</v>
      </c>
      <c r="C114">
        <v>1.9</v>
      </c>
      <c r="D114">
        <v>1.9E-2</v>
      </c>
    </row>
    <row r="115" spans="1:4" x14ac:dyDescent="0.2">
      <c r="A115" t="s">
        <v>722</v>
      </c>
      <c r="B115">
        <v>2009</v>
      </c>
      <c r="C115">
        <v>0.9</v>
      </c>
      <c r="D115">
        <v>8.9999999999999993E-3</v>
      </c>
    </row>
    <row r="116" spans="1:4" x14ac:dyDescent="0.2">
      <c r="A116" t="s">
        <v>722</v>
      </c>
      <c r="B116">
        <v>2012</v>
      </c>
      <c r="C116">
        <v>0.1</v>
      </c>
      <c r="D116">
        <v>1E-3</v>
      </c>
    </row>
    <row r="117" spans="1:4" x14ac:dyDescent="0.2">
      <c r="A117" t="s">
        <v>722</v>
      </c>
      <c r="B117">
        <v>2017</v>
      </c>
      <c r="C117">
        <v>5.9</v>
      </c>
      <c r="D117">
        <v>5.8999999999999997E-2</v>
      </c>
    </row>
    <row r="118" spans="1:4" x14ac:dyDescent="0.2">
      <c r="A118" t="s">
        <v>723</v>
      </c>
      <c r="B118">
        <v>1990</v>
      </c>
      <c r="C118">
        <v>1.05</v>
      </c>
      <c r="D118">
        <v>1.0500000000000001E-2</v>
      </c>
    </row>
    <row r="119" spans="1:4" x14ac:dyDescent="0.2">
      <c r="A119" t="s">
        <v>723</v>
      </c>
      <c r="B119">
        <v>1994</v>
      </c>
      <c r="C119">
        <v>1.29</v>
      </c>
      <c r="D119">
        <v>1.29E-2</v>
      </c>
    </row>
    <row r="120" spans="1:4" x14ac:dyDescent="0.2">
      <c r="A120" t="s">
        <v>723</v>
      </c>
      <c r="B120">
        <v>1999</v>
      </c>
      <c r="C120">
        <v>0.99</v>
      </c>
      <c r="D120">
        <v>9.9000000000000008E-3</v>
      </c>
    </row>
    <row r="121" spans="1:4" x14ac:dyDescent="0.2">
      <c r="A121" t="s">
        <v>723</v>
      </c>
      <c r="B121">
        <v>2004</v>
      </c>
      <c r="C121">
        <v>3.51</v>
      </c>
      <c r="D121">
        <v>3.5099999999999999E-2</v>
      </c>
    </row>
    <row r="122" spans="1:4" x14ac:dyDescent="0.2">
      <c r="A122" t="s">
        <v>723</v>
      </c>
      <c r="B122">
        <v>2009</v>
      </c>
      <c r="C122">
        <v>4.74</v>
      </c>
      <c r="D122">
        <v>4.7399999999999998E-2</v>
      </c>
    </row>
    <row r="123" spans="1:4" x14ac:dyDescent="0.2">
      <c r="A123" t="s">
        <v>723</v>
      </c>
      <c r="B123">
        <v>2014</v>
      </c>
      <c r="C123">
        <v>14.37</v>
      </c>
      <c r="D123">
        <v>0.14369999999999999</v>
      </c>
    </row>
    <row r="124" spans="1:4" x14ac:dyDescent="0.2">
      <c r="A124" t="s">
        <v>723</v>
      </c>
      <c r="B124">
        <v>2019</v>
      </c>
      <c r="C124">
        <v>23.4</v>
      </c>
      <c r="D124">
        <v>0.23400000000000001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B535D1-5D35-6645-86B2-B72C9F200929}">
  <dimension ref="A1:F166"/>
  <sheetViews>
    <sheetView tabSelected="1" workbookViewId="0">
      <selection activeCell="J9" sqref="J9"/>
    </sheetView>
  </sheetViews>
  <sheetFormatPr baseColWidth="10" defaultRowHeight="16" x14ac:dyDescent="0.2"/>
  <sheetData>
    <row r="1" spans="1:6" x14ac:dyDescent="0.2">
      <c r="A1" t="s">
        <v>583</v>
      </c>
      <c r="B1" s="2" t="s">
        <v>686</v>
      </c>
      <c r="C1" s="2" t="s">
        <v>687</v>
      </c>
    </row>
    <row r="2" spans="1:6" x14ac:dyDescent="0.2">
      <c r="A2">
        <v>1990</v>
      </c>
      <c r="B2">
        <v>72</v>
      </c>
      <c r="C2" s="2" t="s">
        <v>688</v>
      </c>
      <c r="D2" s="20"/>
      <c r="E2" s="22" t="s">
        <v>693</v>
      </c>
      <c r="F2" s="20"/>
    </row>
    <row r="3" spans="1:6" x14ac:dyDescent="0.2">
      <c r="A3">
        <v>1991</v>
      </c>
      <c r="B3">
        <v>100</v>
      </c>
      <c r="C3" s="2" t="s">
        <v>688</v>
      </c>
      <c r="D3" s="20"/>
      <c r="E3" s="22" t="s">
        <v>727</v>
      </c>
      <c r="F3" s="20"/>
    </row>
    <row r="4" spans="1:6" x14ac:dyDescent="0.2">
      <c r="A4">
        <v>1992</v>
      </c>
      <c r="B4">
        <v>249</v>
      </c>
      <c r="C4" s="2" t="s">
        <v>688</v>
      </c>
      <c r="D4" s="20"/>
      <c r="E4" s="20" t="s">
        <v>728</v>
      </c>
      <c r="F4" s="20"/>
    </row>
    <row r="5" spans="1:6" x14ac:dyDescent="0.2">
      <c r="A5">
        <v>1993</v>
      </c>
      <c r="B5">
        <v>221</v>
      </c>
      <c r="C5" s="2" t="s">
        <v>688</v>
      </c>
      <c r="E5" t="s">
        <v>729</v>
      </c>
    </row>
    <row r="6" spans="1:6" x14ac:dyDescent="0.2">
      <c r="A6">
        <v>1994</v>
      </c>
      <c r="B6">
        <v>306</v>
      </c>
      <c r="C6" s="2" t="s">
        <v>688</v>
      </c>
    </row>
    <row r="7" spans="1:6" x14ac:dyDescent="0.2">
      <c r="A7">
        <v>1995</v>
      </c>
      <c r="B7">
        <v>313</v>
      </c>
      <c r="C7" s="2" t="s">
        <v>688</v>
      </c>
    </row>
    <row r="8" spans="1:6" x14ac:dyDescent="0.2">
      <c r="A8">
        <v>1996</v>
      </c>
      <c r="B8">
        <v>203</v>
      </c>
      <c r="C8" s="2" t="s">
        <v>688</v>
      </c>
    </row>
    <row r="9" spans="1:6" x14ac:dyDescent="0.2">
      <c r="A9">
        <v>1997</v>
      </c>
      <c r="B9">
        <v>197</v>
      </c>
      <c r="C9" s="2" t="s">
        <v>688</v>
      </c>
    </row>
    <row r="10" spans="1:6" x14ac:dyDescent="0.2">
      <c r="A10">
        <v>1998</v>
      </c>
      <c r="B10">
        <v>198</v>
      </c>
      <c r="C10" s="2" t="s">
        <v>688</v>
      </c>
    </row>
    <row r="11" spans="1:6" x14ac:dyDescent="0.2">
      <c r="A11">
        <v>1999</v>
      </c>
      <c r="B11">
        <v>274</v>
      </c>
      <c r="C11" s="2" t="s">
        <v>688</v>
      </c>
    </row>
    <row r="12" spans="1:6" x14ac:dyDescent="0.2">
      <c r="A12">
        <v>2000</v>
      </c>
      <c r="B12">
        <v>239</v>
      </c>
      <c r="C12" s="2" t="s">
        <v>688</v>
      </c>
    </row>
    <row r="13" spans="1:6" x14ac:dyDescent="0.2">
      <c r="A13">
        <v>2001</v>
      </c>
      <c r="B13">
        <v>269</v>
      </c>
      <c r="C13" s="2" t="s">
        <v>688</v>
      </c>
    </row>
    <row r="14" spans="1:6" x14ac:dyDescent="0.2">
      <c r="A14">
        <v>2002</v>
      </c>
      <c r="B14">
        <v>238</v>
      </c>
      <c r="C14" s="2" t="s">
        <v>688</v>
      </c>
    </row>
    <row r="15" spans="1:6" x14ac:dyDescent="0.2">
      <c r="A15">
        <v>2003</v>
      </c>
      <c r="B15">
        <v>216</v>
      </c>
      <c r="C15" s="2" t="s">
        <v>688</v>
      </c>
    </row>
    <row r="16" spans="1:6" x14ac:dyDescent="0.2">
      <c r="A16">
        <v>2004</v>
      </c>
      <c r="B16">
        <v>165</v>
      </c>
      <c r="C16" s="2" t="s">
        <v>688</v>
      </c>
    </row>
    <row r="17" spans="1:3" x14ac:dyDescent="0.2">
      <c r="A17">
        <v>2005</v>
      </c>
      <c r="B17">
        <v>173</v>
      </c>
      <c r="C17" s="2" t="s">
        <v>688</v>
      </c>
    </row>
    <row r="18" spans="1:3" x14ac:dyDescent="0.2">
      <c r="A18">
        <v>2006</v>
      </c>
      <c r="B18">
        <v>186</v>
      </c>
      <c r="C18" s="2" t="s">
        <v>688</v>
      </c>
    </row>
    <row r="19" spans="1:3" x14ac:dyDescent="0.2">
      <c r="A19">
        <v>2007</v>
      </c>
      <c r="B19">
        <v>369</v>
      </c>
      <c r="C19" s="2" t="s">
        <v>688</v>
      </c>
    </row>
    <row r="20" spans="1:3" x14ac:dyDescent="0.2">
      <c r="A20">
        <v>2008</v>
      </c>
      <c r="B20">
        <v>360</v>
      </c>
      <c r="C20" s="2" t="s">
        <v>688</v>
      </c>
    </row>
    <row r="21" spans="1:3" x14ac:dyDescent="0.2">
      <c r="A21">
        <v>2009</v>
      </c>
      <c r="B21">
        <v>396</v>
      </c>
      <c r="C21" s="2" t="s">
        <v>688</v>
      </c>
    </row>
    <row r="22" spans="1:3" x14ac:dyDescent="0.2">
      <c r="A22">
        <v>2010</v>
      </c>
      <c r="B22">
        <v>522</v>
      </c>
      <c r="C22" s="2" t="s">
        <v>688</v>
      </c>
    </row>
    <row r="23" spans="1:3" x14ac:dyDescent="0.2">
      <c r="A23">
        <v>2011</v>
      </c>
      <c r="B23">
        <v>436</v>
      </c>
      <c r="C23" s="2" t="s">
        <v>688</v>
      </c>
    </row>
    <row r="24" spans="1:3" x14ac:dyDescent="0.2">
      <c r="A24">
        <v>2012</v>
      </c>
      <c r="B24">
        <v>466</v>
      </c>
      <c r="C24" s="2" t="s">
        <v>688</v>
      </c>
    </row>
    <row r="25" spans="1:3" x14ac:dyDescent="0.2">
      <c r="A25">
        <v>2013</v>
      </c>
      <c r="B25">
        <v>529</v>
      </c>
      <c r="C25" s="2" t="s">
        <v>688</v>
      </c>
    </row>
    <row r="26" spans="1:3" x14ac:dyDescent="0.2">
      <c r="A26">
        <v>2014</v>
      </c>
      <c r="B26">
        <v>663</v>
      </c>
      <c r="C26" s="2" t="s">
        <v>688</v>
      </c>
    </row>
    <row r="27" spans="1:3" x14ac:dyDescent="0.2">
      <c r="A27">
        <v>2015</v>
      </c>
      <c r="B27">
        <v>953</v>
      </c>
      <c r="C27" s="2" t="s">
        <v>688</v>
      </c>
    </row>
    <row r="28" spans="1:3" x14ac:dyDescent="0.2">
      <c r="A28">
        <v>2016</v>
      </c>
      <c r="B28">
        <v>884</v>
      </c>
      <c r="C28" s="2" t="s">
        <v>688</v>
      </c>
    </row>
    <row r="29" spans="1:3" x14ac:dyDescent="0.2">
      <c r="A29">
        <v>2017</v>
      </c>
      <c r="B29">
        <v>798</v>
      </c>
      <c r="C29" s="2" t="s">
        <v>688</v>
      </c>
    </row>
    <row r="30" spans="1:3" x14ac:dyDescent="0.2">
      <c r="A30">
        <v>2018</v>
      </c>
      <c r="B30">
        <v>877</v>
      </c>
      <c r="C30" s="2" t="s">
        <v>688</v>
      </c>
    </row>
    <row r="31" spans="1:3" x14ac:dyDescent="0.2">
      <c r="A31">
        <v>2019</v>
      </c>
      <c r="B31">
        <v>1037</v>
      </c>
      <c r="C31" s="2" t="s">
        <v>688</v>
      </c>
    </row>
    <row r="32" spans="1:3" x14ac:dyDescent="0.2">
      <c r="A32">
        <v>2020</v>
      </c>
      <c r="B32">
        <v>801</v>
      </c>
      <c r="C32" s="2" t="s">
        <v>688</v>
      </c>
    </row>
    <row r="33" spans="1:3" x14ac:dyDescent="0.2">
      <c r="A33">
        <v>2021</v>
      </c>
      <c r="B33">
        <v>998</v>
      </c>
      <c r="C33" s="2" t="s">
        <v>688</v>
      </c>
    </row>
    <row r="34" spans="1:3" x14ac:dyDescent="0.2">
      <c r="A34">
        <v>2022</v>
      </c>
      <c r="B34">
        <v>929</v>
      </c>
      <c r="C34" s="2" t="s">
        <v>688</v>
      </c>
    </row>
    <row r="35" spans="1:3" x14ac:dyDescent="0.2">
      <c r="A35">
        <v>2023</v>
      </c>
      <c r="B35">
        <v>1203</v>
      </c>
      <c r="C35" s="2" t="s">
        <v>688</v>
      </c>
    </row>
    <row r="36" spans="1:3" x14ac:dyDescent="0.2">
      <c r="A36">
        <v>1990</v>
      </c>
      <c r="B36">
        <v>29</v>
      </c>
      <c r="C36" s="2" t="s">
        <v>689</v>
      </c>
    </row>
    <row r="37" spans="1:3" x14ac:dyDescent="0.2">
      <c r="A37">
        <v>1991</v>
      </c>
      <c r="B37">
        <v>25</v>
      </c>
      <c r="C37" s="2" t="s">
        <v>689</v>
      </c>
    </row>
    <row r="38" spans="1:3" x14ac:dyDescent="0.2">
      <c r="A38">
        <v>1992</v>
      </c>
      <c r="B38">
        <v>28</v>
      </c>
      <c r="C38" s="2" t="s">
        <v>689</v>
      </c>
    </row>
    <row r="39" spans="1:3" x14ac:dyDescent="0.2">
      <c r="A39">
        <v>1993</v>
      </c>
      <c r="B39">
        <v>24</v>
      </c>
      <c r="C39" s="2" t="s">
        <v>689</v>
      </c>
    </row>
    <row r="40" spans="1:3" x14ac:dyDescent="0.2">
      <c r="A40">
        <v>1994</v>
      </c>
      <c r="B40">
        <v>29</v>
      </c>
      <c r="C40" s="2" t="s">
        <v>689</v>
      </c>
    </row>
    <row r="41" spans="1:3" x14ac:dyDescent="0.2">
      <c r="A41">
        <v>1995</v>
      </c>
      <c r="B41">
        <v>31</v>
      </c>
      <c r="C41" s="2" t="s">
        <v>689</v>
      </c>
    </row>
    <row r="42" spans="1:3" x14ac:dyDescent="0.2">
      <c r="A42">
        <v>1996</v>
      </c>
      <c r="B42">
        <v>18</v>
      </c>
      <c r="C42" s="2" t="s">
        <v>689</v>
      </c>
    </row>
    <row r="43" spans="1:3" x14ac:dyDescent="0.2">
      <c r="A43">
        <v>1997</v>
      </c>
      <c r="B43">
        <v>30</v>
      </c>
      <c r="C43" s="2" t="s">
        <v>689</v>
      </c>
    </row>
    <row r="44" spans="1:3" x14ac:dyDescent="0.2">
      <c r="A44">
        <v>1998</v>
      </c>
      <c r="B44">
        <v>19</v>
      </c>
      <c r="C44" s="2" t="s">
        <v>689</v>
      </c>
    </row>
    <row r="45" spans="1:3" x14ac:dyDescent="0.2">
      <c r="A45">
        <v>1999</v>
      </c>
      <c r="B45">
        <v>12</v>
      </c>
      <c r="C45" s="2" t="s">
        <v>689</v>
      </c>
    </row>
    <row r="46" spans="1:3" x14ac:dyDescent="0.2">
      <c r="A46">
        <v>2000</v>
      </c>
      <c r="B46">
        <v>22</v>
      </c>
      <c r="C46" s="2" t="s">
        <v>689</v>
      </c>
    </row>
    <row r="47" spans="1:3" x14ac:dyDescent="0.2">
      <c r="A47">
        <v>2001</v>
      </c>
      <c r="B47">
        <v>16</v>
      </c>
      <c r="C47" s="2" t="s">
        <v>689</v>
      </c>
    </row>
    <row r="48" spans="1:3" x14ac:dyDescent="0.2">
      <c r="A48">
        <v>2002</v>
      </c>
      <c r="B48">
        <v>25</v>
      </c>
      <c r="C48" s="2" t="s">
        <v>689</v>
      </c>
    </row>
    <row r="49" spans="1:3" x14ac:dyDescent="0.2">
      <c r="A49">
        <v>2003</v>
      </c>
      <c r="B49">
        <v>7</v>
      </c>
      <c r="C49" s="2" t="s">
        <v>689</v>
      </c>
    </row>
    <row r="50" spans="1:3" x14ac:dyDescent="0.2">
      <c r="A50">
        <v>2004</v>
      </c>
      <c r="B50">
        <v>9</v>
      </c>
      <c r="C50" s="2" t="s">
        <v>689</v>
      </c>
    </row>
    <row r="51" spans="1:3" x14ac:dyDescent="0.2">
      <c r="A51">
        <v>2005</v>
      </c>
      <c r="B51">
        <v>10</v>
      </c>
      <c r="C51" s="2" t="s">
        <v>689</v>
      </c>
    </row>
    <row r="52" spans="1:3" x14ac:dyDescent="0.2">
      <c r="A52">
        <v>2006</v>
      </c>
      <c r="B52">
        <v>17</v>
      </c>
      <c r="C52" s="2" t="s">
        <v>689</v>
      </c>
    </row>
    <row r="53" spans="1:3" x14ac:dyDescent="0.2">
      <c r="A53">
        <v>2007</v>
      </c>
      <c r="B53">
        <v>14</v>
      </c>
      <c r="C53" s="2" t="s">
        <v>689</v>
      </c>
    </row>
    <row r="54" spans="1:3" x14ac:dyDescent="0.2">
      <c r="A54">
        <v>2008</v>
      </c>
      <c r="B54">
        <v>21</v>
      </c>
      <c r="C54" s="2" t="s">
        <v>689</v>
      </c>
    </row>
    <row r="55" spans="1:3" x14ac:dyDescent="0.2">
      <c r="A55">
        <v>2009</v>
      </c>
      <c r="B55">
        <v>40</v>
      </c>
      <c r="C55" s="2" t="s">
        <v>689</v>
      </c>
    </row>
    <row r="56" spans="1:3" x14ac:dyDescent="0.2">
      <c r="A56">
        <v>2010</v>
      </c>
      <c r="B56">
        <v>20</v>
      </c>
      <c r="C56" s="2" t="s">
        <v>689</v>
      </c>
    </row>
    <row r="57" spans="1:3" x14ac:dyDescent="0.2">
      <c r="A57">
        <v>2011</v>
      </c>
      <c r="B57">
        <v>26</v>
      </c>
      <c r="C57" s="2" t="s">
        <v>689</v>
      </c>
    </row>
    <row r="58" spans="1:3" x14ac:dyDescent="0.2">
      <c r="A58">
        <v>2012</v>
      </c>
      <c r="B58">
        <v>31</v>
      </c>
      <c r="C58" s="2" t="s">
        <v>689</v>
      </c>
    </row>
    <row r="59" spans="1:3" x14ac:dyDescent="0.2">
      <c r="A59">
        <v>2013</v>
      </c>
      <c r="B59">
        <v>17</v>
      </c>
      <c r="C59" s="2" t="s">
        <v>689</v>
      </c>
    </row>
    <row r="60" spans="1:3" x14ac:dyDescent="0.2">
      <c r="A60">
        <v>2014</v>
      </c>
      <c r="B60">
        <v>13</v>
      </c>
      <c r="C60" s="2" t="s">
        <v>689</v>
      </c>
    </row>
    <row r="61" spans="1:3" x14ac:dyDescent="0.2">
      <c r="A61">
        <v>2015</v>
      </c>
      <c r="B61">
        <v>0</v>
      </c>
      <c r="C61" s="2" t="s">
        <v>689</v>
      </c>
    </row>
    <row r="62" spans="1:3" x14ac:dyDescent="0.2">
      <c r="A62">
        <v>2016</v>
      </c>
      <c r="B62">
        <v>13</v>
      </c>
      <c r="C62" s="2" t="s">
        <v>689</v>
      </c>
    </row>
    <row r="63" spans="1:3" x14ac:dyDescent="0.2">
      <c r="A63">
        <v>2017</v>
      </c>
      <c r="B63">
        <v>15</v>
      </c>
      <c r="C63" s="2" t="s">
        <v>689</v>
      </c>
    </row>
    <row r="64" spans="1:3" x14ac:dyDescent="0.2">
      <c r="A64">
        <v>2018</v>
      </c>
      <c r="B64">
        <v>10</v>
      </c>
      <c r="C64" s="2" t="s">
        <v>689</v>
      </c>
    </row>
    <row r="65" spans="1:3" x14ac:dyDescent="0.2">
      <c r="A65">
        <v>2019</v>
      </c>
      <c r="B65">
        <v>2</v>
      </c>
      <c r="C65" s="2" t="s">
        <v>689</v>
      </c>
    </row>
    <row r="66" spans="1:3" x14ac:dyDescent="0.2">
      <c r="A66">
        <v>2020</v>
      </c>
      <c r="B66">
        <v>6</v>
      </c>
      <c r="C66" s="2" t="s">
        <v>689</v>
      </c>
    </row>
    <row r="67" spans="1:3" x14ac:dyDescent="0.2">
      <c r="A67">
        <v>1990</v>
      </c>
      <c r="B67">
        <v>8</v>
      </c>
      <c r="C67" s="2" t="s">
        <v>690</v>
      </c>
    </row>
    <row r="68" spans="1:3" x14ac:dyDescent="0.2">
      <c r="A68">
        <v>1991</v>
      </c>
      <c r="B68">
        <v>34</v>
      </c>
      <c r="C68" s="2" t="s">
        <v>690</v>
      </c>
    </row>
    <row r="69" spans="1:3" x14ac:dyDescent="0.2">
      <c r="A69">
        <v>1992</v>
      </c>
      <c r="B69">
        <v>42</v>
      </c>
      <c r="C69" s="2" t="s">
        <v>690</v>
      </c>
    </row>
    <row r="70" spans="1:3" x14ac:dyDescent="0.2">
      <c r="A70">
        <v>1993</v>
      </c>
      <c r="B70">
        <v>20</v>
      </c>
      <c r="C70" s="2" t="s">
        <v>690</v>
      </c>
    </row>
    <row r="71" spans="1:3" x14ac:dyDescent="0.2">
      <c r="A71">
        <v>1994</v>
      </c>
      <c r="B71">
        <v>26</v>
      </c>
      <c r="C71" s="2" t="s">
        <v>690</v>
      </c>
    </row>
    <row r="72" spans="1:3" x14ac:dyDescent="0.2">
      <c r="A72">
        <v>1995</v>
      </c>
      <c r="B72">
        <v>14</v>
      </c>
      <c r="C72" s="2" t="s">
        <v>690</v>
      </c>
    </row>
    <row r="73" spans="1:3" x14ac:dyDescent="0.2">
      <c r="A73">
        <v>1996</v>
      </c>
      <c r="B73">
        <v>14</v>
      </c>
      <c r="C73" s="2" t="s">
        <v>690</v>
      </c>
    </row>
    <row r="74" spans="1:3" x14ac:dyDescent="0.2">
      <c r="A74">
        <v>1997</v>
      </c>
      <c r="B74">
        <v>20</v>
      </c>
      <c r="C74" s="2" t="s">
        <v>690</v>
      </c>
    </row>
    <row r="75" spans="1:3" x14ac:dyDescent="0.2">
      <c r="A75">
        <v>1998</v>
      </c>
      <c r="B75">
        <v>21</v>
      </c>
      <c r="C75" s="2" t="s">
        <v>690</v>
      </c>
    </row>
    <row r="76" spans="1:3" x14ac:dyDescent="0.2">
      <c r="A76">
        <v>1999</v>
      </c>
      <c r="B76">
        <v>43</v>
      </c>
      <c r="C76" s="2" t="s">
        <v>690</v>
      </c>
    </row>
    <row r="77" spans="1:3" x14ac:dyDescent="0.2">
      <c r="A77">
        <v>2000</v>
      </c>
      <c r="B77">
        <v>27</v>
      </c>
      <c r="C77" s="2" t="s">
        <v>690</v>
      </c>
    </row>
    <row r="78" spans="1:3" x14ac:dyDescent="0.2">
      <c r="A78">
        <v>2001</v>
      </c>
      <c r="B78">
        <v>39</v>
      </c>
      <c r="C78" s="2" t="s">
        <v>690</v>
      </c>
    </row>
    <row r="79" spans="1:3" x14ac:dyDescent="0.2">
      <c r="A79">
        <v>2002</v>
      </c>
      <c r="B79">
        <v>56</v>
      </c>
      <c r="C79" s="2" t="s">
        <v>690</v>
      </c>
    </row>
    <row r="80" spans="1:3" x14ac:dyDescent="0.2">
      <c r="A80">
        <v>2003</v>
      </c>
      <c r="B80">
        <v>37</v>
      </c>
      <c r="C80" s="2" t="s">
        <v>690</v>
      </c>
    </row>
    <row r="81" spans="1:3" x14ac:dyDescent="0.2">
      <c r="A81">
        <v>2004</v>
      </c>
      <c r="B81">
        <v>29</v>
      </c>
      <c r="C81" s="2" t="s">
        <v>690</v>
      </c>
    </row>
    <row r="82" spans="1:3" x14ac:dyDescent="0.2">
      <c r="A82">
        <v>2005</v>
      </c>
      <c r="B82">
        <v>14</v>
      </c>
      <c r="C82" s="2" t="s">
        <v>690</v>
      </c>
    </row>
    <row r="83" spans="1:3" x14ac:dyDescent="0.2">
      <c r="A83">
        <v>2006</v>
      </c>
      <c r="B83">
        <v>25</v>
      </c>
      <c r="C83" s="2" t="s">
        <v>690</v>
      </c>
    </row>
    <row r="84" spans="1:3" x14ac:dyDescent="0.2">
      <c r="A84">
        <v>2007</v>
      </c>
      <c r="B84">
        <v>52</v>
      </c>
      <c r="C84" s="2" t="s">
        <v>690</v>
      </c>
    </row>
    <row r="85" spans="1:3" x14ac:dyDescent="0.2">
      <c r="A85">
        <v>2008</v>
      </c>
      <c r="B85">
        <v>73</v>
      </c>
      <c r="C85" s="2" t="s">
        <v>690</v>
      </c>
    </row>
    <row r="86" spans="1:3" x14ac:dyDescent="0.2">
      <c r="A86">
        <v>2009</v>
      </c>
      <c r="B86">
        <v>33</v>
      </c>
      <c r="C86" s="2" t="s">
        <v>690</v>
      </c>
    </row>
    <row r="87" spans="1:3" x14ac:dyDescent="0.2">
      <c r="A87">
        <v>2010</v>
      </c>
      <c r="B87">
        <v>79</v>
      </c>
      <c r="C87" s="2" t="s">
        <v>690</v>
      </c>
    </row>
    <row r="88" spans="1:3" x14ac:dyDescent="0.2">
      <c r="A88">
        <v>2011</v>
      </c>
      <c r="B88">
        <v>84</v>
      </c>
      <c r="C88" s="2" t="s">
        <v>690</v>
      </c>
    </row>
    <row r="89" spans="1:3" x14ac:dyDescent="0.2">
      <c r="A89">
        <v>2012</v>
      </c>
      <c r="B89">
        <v>83</v>
      </c>
      <c r="C89" s="2" t="s">
        <v>690</v>
      </c>
    </row>
    <row r="90" spans="1:3" x14ac:dyDescent="0.2">
      <c r="A90">
        <v>2013</v>
      </c>
      <c r="B90">
        <v>152</v>
      </c>
      <c r="C90" s="2" t="s">
        <v>690</v>
      </c>
    </row>
    <row r="91" spans="1:3" x14ac:dyDescent="0.2">
      <c r="A91">
        <v>2014</v>
      </c>
      <c r="B91">
        <v>182</v>
      </c>
      <c r="C91" s="2" t="s">
        <v>690</v>
      </c>
    </row>
    <row r="92" spans="1:3" x14ac:dyDescent="0.2">
      <c r="A92">
        <v>2015</v>
      </c>
      <c r="B92">
        <v>282</v>
      </c>
      <c r="C92" s="2" t="s">
        <v>690</v>
      </c>
    </row>
    <row r="93" spans="1:3" x14ac:dyDescent="0.2">
      <c r="A93">
        <v>2016</v>
      </c>
      <c r="B93">
        <v>380</v>
      </c>
      <c r="C93" s="2" t="s">
        <v>690</v>
      </c>
    </row>
    <row r="94" spans="1:3" x14ac:dyDescent="0.2">
      <c r="A94">
        <v>2017</v>
      </c>
      <c r="B94">
        <v>259</v>
      </c>
      <c r="C94" s="2" t="s">
        <v>690</v>
      </c>
    </row>
    <row r="95" spans="1:3" x14ac:dyDescent="0.2">
      <c r="A95">
        <v>2018</v>
      </c>
      <c r="B95">
        <v>280</v>
      </c>
      <c r="C95" s="2" t="s">
        <v>690</v>
      </c>
    </row>
    <row r="96" spans="1:3" x14ac:dyDescent="0.2">
      <c r="A96">
        <v>2019</v>
      </c>
      <c r="B96">
        <v>169</v>
      </c>
      <c r="C96" s="2" t="s">
        <v>690</v>
      </c>
    </row>
    <row r="97" spans="1:3" x14ac:dyDescent="0.2">
      <c r="A97">
        <v>2020</v>
      </c>
      <c r="B97">
        <v>224</v>
      </c>
      <c r="C97" s="2" t="s">
        <v>690</v>
      </c>
    </row>
    <row r="98" spans="1:3" x14ac:dyDescent="0.2">
      <c r="A98">
        <v>2021</v>
      </c>
      <c r="B98">
        <v>135</v>
      </c>
      <c r="C98" s="2" t="s">
        <v>690</v>
      </c>
    </row>
    <row r="99" spans="1:3" x14ac:dyDescent="0.2">
      <c r="A99">
        <v>2022</v>
      </c>
      <c r="B99">
        <v>89</v>
      </c>
      <c r="C99" s="2" t="s">
        <v>690</v>
      </c>
    </row>
    <row r="100" spans="1:3" x14ac:dyDescent="0.2">
      <c r="A100">
        <v>2023</v>
      </c>
      <c r="B100">
        <v>177</v>
      </c>
      <c r="C100" s="2" t="s">
        <v>690</v>
      </c>
    </row>
    <row r="101" spans="1:3" x14ac:dyDescent="0.2">
      <c r="A101">
        <v>1990</v>
      </c>
      <c r="B101">
        <v>0</v>
      </c>
      <c r="C101" s="2" t="s">
        <v>691</v>
      </c>
    </row>
    <row r="102" spans="1:3" x14ac:dyDescent="0.2">
      <c r="A102">
        <v>1991</v>
      </c>
      <c r="B102">
        <v>0</v>
      </c>
      <c r="C102" s="2" t="s">
        <v>691</v>
      </c>
    </row>
    <row r="103" spans="1:3" x14ac:dyDescent="0.2">
      <c r="A103">
        <v>1992</v>
      </c>
      <c r="B103">
        <v>130</v>
      </c>
      <c r="C103" s="2" t="s">
        <v>691</v>
      </c>
    </row>
    <row r="104" spans="1:3" x14ac:dyDescent="0.2">
      <c r="A104">
        <v>1993</v>
      </c>
      <c r="B104">
        <v>209</v>
      </c>
      <c r="C104" s="2" t="s">
        <v>691</v>
      </c>
    </row>
    <row r="105" spans="1:3" x14ac:dyDescent="0.2">
      <c r="A105">
        <v>1994</v>
      </c>
      <c r="B105">
        <v>164</v>
      </c>
      <c r="C105" s="2" t="s">
        <v>691</v>
      </c>
    </row>
    <row r="106" spans="1:3" x14ac:dyDescent="0.2">
      <c r="A106">
        <v>1995</v>
      </c>
      <c r="B106">
        <v>189</v>
      </c>
      <c r="C106" s="2" t="s">
        <v>691</v>
      </c>
    </row>
    <row r="107" spans="1:3" x14ac:dyDescent="0.2">
      <c r="A107">
        <v>1996</v>
      </c>
      <c r="B107">
        <v>99</v>
      </c>
      <c r="C107" s="2" t="s">
        <v>691</v>
      </c>
    </row>
    <row r="108" spans="1:3" x14ac:dyDescent="0.2">
      <c r="A108">
        <v>1997</v>
      </c>
      <c r="B108">
        <v>105</v>
      </c>
      <c r="C108" s="2" t="s">
        <v>691</v>
      </c>
    </row>
    <row r="109" spans="1:3" x14ac:dyDescent="0.2">
      <c r="A109">
        <v>1998</v>
      </c>
      <c r="B109">
        <v>109</v>
      </c>
      <c r="C109" s="2" t="s">
        <v>691</v>
      </c>
    </row>
    <row r="110" spans="1:3" x14ac:dyDescent="0.2">
      <c r="A110">
        <v>1999</v>
      </c>
      <c r="B110">
        <v>212</v>
      </c>
      <c r="C110" s="2" t="s">
        <v>691</v>
      </c>
    </row>
    <row r="111" spans="1:3" x14ac:dyDescent="0.2">
      <c r="A111">
        <v>2000</v>
      </c>
      <c r="B111">
        <v>117</v>
      </c>
      <c r="C111" s="2" t="s">
        <v>691</v>
      </c>
    </row>
    <row r="112" spans="1:3" x14ac:dyDescent="0.2">
      <c r="A112">
        <v>2001</v>
      </c>
      <c r="B112">
        <v>133</v>
      </c>
      <c r="C112" s="2" t="s">
        <v>691</v>
      </c>
    </row>
    <row r="113" spans="1:3" x14ac:dyDescent="0.2">
      <c r="A113">
        <v>2002</v>
      </c>
      <c r="B113">
        <v>99</v>
      </c>
      <c r="C113" s="2" t="s">
        <v>691</v>
      </c>
    </row>
    <row r="114" spans="1:3" x14ac:dyDescent="0.2">
      <c r="A114">
        <v>2003</v>
      </c>
      <c r="B114">
        <v>96</v>
      </c>
      <c r="C114" s="2" t="s">
        <v>691</v>
      </c>
    </row>
    <row r="115" spans="1:3" x14ac:dyDescent="0.2">
      <c r="A115">
        <v>2004</v>
      </c>
      <c r="B115">
        <v>93</v>
      </c>
      <c r="C115" s="2" t="s">
        <v>691</v>
      </c>
    </row>
    <row r="116" spans="1:3" x14ac:dyDescent="0.2">
      <c r="A116">
        <v>2005</v>
      </c>
      <c r="B116">
        <v>165</v>
      </c>
      <c r="C116" s="2" t="s">
        <v>691</v>
      </c>
    </row>
    <row r="117" spans="1:3" x14ac:dyDescent="0.2">
      <c r="A117">
        <v>2006</v>
      </c>
      <c r="B117">
        <v>150</v>
      </c>
      <c r="C117" s="2" t="s">
        <v>691</v>
      </c>
    </row>
    <row r="118" spans="1:3" x14ac:dyDescent="0.2">
      <c r="A118">
        <v>2007</v>
      </c>
      <c r="B118">
        <v>251</v>
      </c>
      <c r="C118" s="2" t="s">
        <v>691</v>
      </c>
    </row>
    <row r="119" spans="1:3" x14ac:dyDescent="0.2">
      <c r="A119">
        <v>2008</v>
      </c>
      <c r="B119">
        <v>304</v>
      </c>
      <c r="C119" s="2" t="s">
        <v>691</v>
      </c>
    </row>
    <row r="120" spans="1:3" x14ac:dyDescent="0.2">
      <c r="A120">
        <v>2009</v>
      </c>
      <c r="B120">
        <v>253</v>
      </c>
      <c r="C120" s="2" t="s">
        <v>691</v>
      </c>
    </row>
    <row r="121" spans="1:3" x14ac:dyDescent="0.2">
      <c r="A121">
        <v>2010</v>
      </c>
      <c r="B121">
        <v>380</v>
      </c>
      <c r="C121" s="2" t="s">
        <v>691</v>
      </c>
    </row>
    <row r="122" spans="1:3" x14ac:dyDescent="0.2">
      <c r="A122">
        <v>2011</v>
      </c>
      <c r="B122">
        <v>368</v>
      </c>
      <c r="C122" s="2" t="s">
        <v>691</v>
      </c>
    </row>
    <row r="123" spans="1:3" x14ac:dyDescent="0.2">
      <c r="A123">
        <v>2012</v>
      </c>
      <c r="B123">
        <v>323</v>
      </c>
      <c r="C123" s="2" t="s">
        <v>691</v>
      </c>
    </row>
    <row r="124" spans="1:3" x14ac:dyDescent="0.2">
      <c r="A124">
        <v>2013</v>
      </c>
      <c r="B124">
        <v>432</v>
      </c>
      <c r="C124" s="2" t="s">
        <v>691</v>
      </c>
    </row>
    <row r="125" spans="1:3" x14ac:dyDescent="0.2">
      <c r="A125">
        <v>2014</v>
      </c>
      <c r="B125">
        <v>324</v>
      </c>
      <c r="C125" s="2" t="s">
        <v>691</v>
      </c>
    </row>
    <row r="126" spans="1:3" x14ac:dyDescent="0.2">
      <c r="A126">
        <v>2015</v>
      </c>
      <c r="B126">
        <v>415</v>
      </c>
      <c r="C126" s="2" t="s">
        <v>691</v>
      </c>
    </row>
    <row r="127" spans="1:3" x14ac:dyDescent="0.2">
      <c r="A127">
        <v>2016</v>
      </c>
      <c r="B127">
        <v>541</v>
      </c>
      <c r="C127" s="2" t="s">
        <v>691</v>
      </c>
    </row>
    <row r="128" spans="1:3" x14ac:dyDescent="0.2">
      <c r="A128">
        <v>2018</v>
      </c>
      <c r="B128">
        <v>412</v>
      </c>
      <c r="C128" s="2" t="s">
        <v>691</v>
      </c>
    </row>
    <row r="129" spans="1:3" x14ac:dyDescent="0.2">
      <c r="A129">
        <v>2020</v>
      </c>
      <c r="B129">
        <f>72+254</f>
        <v>326</v>
      </c>
      <c r="C129" s="2" t="s">
        <v>691</v>
      </c>
    </row>
    <row r="130" spans="1:3" x14ac:dyDescent="0.2">
      <c r="A130">
        <v>2021</v>
      </c>
      <c r="B130">
        <v>330</v>
      </c>
      <c r="C130" s="2" t="s">
        <v>691</v>
      </c>
    </row>
    <row r="131" spans="1:3" x14ac:dyDescent="0.2">
      <c r="A131">
        <v>2022</v>
      </c>
      <c r="B131">
        <v>437</v>
      </c>
      <c r="C131" s="2" t="s">
        <v>691</v>
      </c>
    </row>
    <row r="132" spans="1:3" x14ac:dyDescent="0.2">
      <c r="A132">
        <v>2023</v>
      </c>
      <c r="B132">
        <v>460</v>
      </c>
      <c r="C132" s="2" t="s">
        <v>691</v>
      </c>
    </row>
    <row r="133" spans="1:3" x14ac:dyDescent="0.2">
      <c r="A133">
        <v>1990</v>
      </c>
      <c r="B133">
        <v>52</v>
      </c>
      <c r="C133" s="2" t="s">
        <v>692</v>
      </c>
    </row>
    <row r="134" spans="1:3" x14ac:dyDescent="0.2">
      <c r="A134">
        <v>1991</v>
      </c>
      <c r="B134">
        <v>100</v>
      </c>
      <c r="C134" s="2" t="s">
        <v>692</v>
      </c>
    </row>
    <row r="135" spans="1:3" x14ac:dyDescent="0.2">
      <c r="A135">
        <v>1992</v>
      </c>
      <c r="B135">
        <v>80</v>
      </c>
      <c r="C135" s="2" t="s">
        <v>692</v>
      </c>
    </row>
    <row r="136" spans="1:3" x14ac:dyDescent="0.2">
      <c r="A136">
        <v>1993</v>
      </c>
      <c r="B136">
        <v>47</v>
      </c>
      <c r="C136" s="2" t="s">
        <v>692</v>
      </c>
    </row>
    <row r="137" spans="1:3" x14ac:dyDescent="0.2">
      <c r="A137">
        <v>1994</v>
      </c>
      <c r="B137">
        <v>75</v>
      </c>
      <c r="C137" s="2" t="s">
        <v>692</v>
      </c>
    </row>
    <row r="138" spans="1:3" x14ac:dyDescent="0.2">
      <c r="A138">
        <v>1995</v>
      </c>
      <c r="B138">
        <v>71</v>
      </c>
      <c r="C138" s="2" t="s">
        <v>692</v>
      </c>
    </row>
    <row r="139" spans="1:3" x14ac:dyDescent="0.2">
      <c r="A139">
        <v>1996</v>
      </c>
      <c r="B139">
        <v>33</v>
      </c>
      <c r="C139" s="2" t="s">
        <v>692</v>
      </c>
    </row>
    <row r="140" spans="1:3" x14ac:dyDescent="0.2">
      <c r="A140">
        <v>1997</v>
      </c>
      <c r="B140">
        <v>32</v>
      </c>
      <c r="C140" s="2" t="s">
        <v>692</v>
      </c>
    </row>
    <row r="141" spans="1:3" x14ac:dyDescent="0.2">
      <c r="A141">
        <v>1998</v>
      </c>
      <c r="B141">
        <v>42</v>
      </c>
      <c r="C141" s="2" t="s">
        <v>692</v>
      </c>
    </row>
    <row r="142" spans="1:3" x14ac:dyDescent="0.2">
      <c r="A142">
        <v>1999</v>
      </c>
      <c r="B142">
        <v>174</v>
      </c>
      <c r="C142" s="2" t="s">
        <v>692</v>
      </c>
    </row>
    <row r="143" spans="1:3" x14ac:dyDescent="0.2">
      <c r="A143">
        <v>2000</v>
      </c>
      <c r="B143">
        <v>44</v>
      </c>
      <c r="C143" s="2" t="s">
        <v>692</v>
      </c>
    </row>
    <row r="144" spans="1:3" x14ac:dyDescent="0.2">
      <c r="A144">
        <v>2001</v>
      </c>
      <c r="B144">
        <v>68</v>
      </c>
      <c r="C144" s="2" t="s">
        <v>692</v>
      </c>
    </row>
    <row r="145" spans="1:3" x14ac:dyDescent="0.2">
      <c r="A145">
        <v>2002</v>
      </c>
      <c r="B145">
        <v>47</v>
      </c>
      <c r="C145" s="2" t="s">
        <v>692</v>
      </c>
    </row>
    <row r="146" spans="1:3" x14ac:dyDescent="0.2">
      <c r="A146">
        <v>2003</v>
      </c>
      <c r="B146">
        <v>79</v>
      </c>
      <c r="C146" s="2" t="s">
        <v>692</v>
      </c>
    </row>
    <row r="147" spans="1:3" x14ac:dyDescent="0.2">
      <c r="A147">
        <v>2004</v>
      </c>
      <c r="B147">
        <v>26</v>
      </c>
      <c r="C147" s="2" t="s">
        <v>692</v>
      </c>
    </row>
    <row r="148" spans="1:3" x14ac:dyDescent="0.2">
      <c r="A148">
        <v>2005</v>
      </c>
      <c r="B148">
        <v>44</v>
      </c>
      <c r="C148" s="2" t="s">
        <v>692</v>
      </c>
    </row>
    <row r="149" spans="1:3" x14ac:dyDescent="0.2">
      <c r="A149">
        <v>2006</v>
      </c>
      <c r="B149">
        <v>41</v>
      </c>
      <c r="C149" s="2" t="s">
        <v>692</v>
      </c>
    </row>
    <row r="150" spans="1:3" x14ac:dyDescent="0.2">
      <c r="A150">
        <v>2007</v>
      </c>
      <c r="B150">
        <v>66</v>
      </c>
      <c r="C150" s="2" t="s">
        <v>692</v>
      </c>
    </row>
    <row r="151" spans="1:3" x14ac:dyDescent="0.2">
      <c r="A151">
        <v>2008</v>
      </c>
      <c r="B151">
        <v>77</v>
      </c>
      <c r="C151" s="2" t="s">
        <v>692</v>
      </c>
    </row>
    <row r="152" spans="1:3" x14ac:dyDescent="0.2">
      <c r="A152">
        <v>2009</v>
      </c>
      <c r="B152">
        <v>69</v>
      </c>
      <c r="C152" s="2" t="s">
        <v>692</v>
      </c>
    </row>
    <row r="153" spans="1:3" x14ac:dyDescent="0.2">
      <c r="A153">
        <v>2010</v>
      </c>
      <c r="B153">
        <v>39</v>
      </c>
      <c r="C153" s="2" t="s">
        <v>692</v>
      </c>
    </row>
    <row r="154" spans="1:3" x14ac:dyDescent="0.2">
      <c r="A154">
        <v>2011</v>
      </c>
      <c r="B154">
        <v>49</v>
      </c>
      <c r="C154" s="2" t="s">
        <v>692</v>
      </c>
    </row>
    <row r="155" spans="1:3" x14ac:dyDescent="0.2">
      <c r="A155">
        <v>2012</v>
      </c>
      <c r="B155">
        <v>17</v>
      </c>
      <c r="C155" s="2" t="s">
        <v>692</v>
      </c>
    </row>
    <row r="156" spans="1:3" x14ac:dyDescent="0.2">
      <c r="A156">
        <v>2013</v>
      </c>
      <c r="B156">
        <v>48</v>
      </c>
      <c r="C156" s="2" t="s">
        <v>692</v>
      </c>
    </row>
    <row r="157" spans="1:3" x14ac:dyDescent="0.2">
      <c r="A157">
        <v>2014</v>
      </c>
      <c r="B157">
        <v>19</v>
      </c>
      <c r="C157" s="2" t="s">
        <v>692</v>
      </c>
    </row>
    <row r="158" spans="1:3" x14ac:dyDescent="0.2">
      <c r="A158">
        <v>2015</v>
      </c>
      <c r="B158">
        <v>27</v>
      </c>
      <c r="C158" s="2" t="s">
        <v>692</v>
      </c>
    </row>
    <row r="159" spans="1:3" x14ac:dyDescent="0.2">
      <c r="A159">
        <v>2016</v>
      </c>
      <c r="B159">
        <v>10</v>
      </c>
      <c r="C159" s="2" t="s">
        <v>692</v>
      </c>
    </row>
    <row r="160" spans="1:3" x14ac:dyDescent="0.2">
      <c r="A160">
        <v>2017</v>
      </c>
      <c r="B160">
        <v>19</v>
      </c>
      <c r="C160" s="2" t="s">
        <v>692</v>
      </c>
    </row>
    <row r="161" spans="1:3" x14ac:dyDescent="0.2">
      <c r="A161">
        <v>2018</v>
      </c>
      <c r="B161">
        <v>5</v>
      </c>
      <c r="C161" s="2" t="s">
        <v>692</v>
      </c>
    </row>
    <row r="162" spans="1:3" x14ac:dyDescent="0.2">
      <c r="A162">
        <v>2019</v>
      </c>
      <c r="B162">
        <v>14</v>
      </c>
      <c r="C162" s="2" t="s">
        <v>692</v>
      </c>
    </row>
    <row r="163" spans="1:3" x14ac:dyDescent="0.2">
      <c r="A163">
        <v>2020</v>
      </c>
      <c r="B163">
        <v>263</v>
      </c>
      <c r="C163" s="2" t="s">
        <v>692</v>
      </c>
    </row>
    <row r="164" spans="1:3" x14ac:dyDescent="0.2">
      <c r="A164">
        <v>2021</v>
      </c>
      <c r="B164">
        <v>3</v>
      </c>
      <c r="C164" s="2" t="s">
        <v>692</v>
      </c>
    </row>
    <row r="165" spans="1:3" x14ac:dyDescent="0.2">
      <c r="A165">
        <v>2022</v>
      </c>
      <c r="B165">
        <v>53</v>
      </c>
      <c r="C165" s="2" t="s">
        <v>692</v>
      </c>
    </row>
    <row r="166" spans="1:3" x14ac:dyDescent="0.2">
      <c r="A166">
        <v>2023</v>
      </c>
      <c r="B166">
        <v>39</v>
      </c>
      <c r="C166" s="2" t="s">
        <v>692</v>
      </c>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C1AD3C-7CE2-F94C-9F19-CE7DAE4527B9}">
  <dimension ref="A1:D67"/>
  <sheetViews>
    <sheetView workbookViewId="0">
      <selection activeCell="F8" sqref="F8"/>
    </sheetView>
  </sheetViews>
  <sheetFormatPr baseColWidth="10" defaultRowHeight="16" x14ac:dyDescent="0.2"/>
  <sheetData>
    <row r="1" spans="1:4" x14ac:dyDescent="0.2">
      <c r="A1" t="s">
        <v>701</v>
      </c>
      <c r="B1" t="s">
        <v>274</v>
      </c>
      <c r="C1" t="s">
        <v>393</v>
      </c>
      <c r="D1" t="s">
        <v>702</v>
      </c>
    </row>
    <row r="2" spans="1:4" x14ac:dyDescent="0.2">
      <c r="A2" t="s">
        <v>703</v>
      </c>
      <c r="B2">
        <v>1987</v>
      </c>
      <c r="C2" s="8">
        <v>7.31</v>
      </c>
      <c r="D2" s="9">
        <v>7.3099999999999998E-2</v>
      </c>
    </row>
    <row r="3" spans="1:4" x14ac:dyDescent="0.2">
      <c r="A3" t="s">
        <v>703</v>
      </c>
      <c r="B3">
        <v>1991</v>
      </c>
      <c r="C3" s="8">
        <v>9.74</v>
      </c>
      <c r="D3" s="9">
        <v>9.74E-2</v>
      </c>
    </row>
    <row r="4" spans="1:4" x14ac:dyDescent="0.2">
      <c r="A4" t="s">
        <v>703</v>
      </c>
      <c r="B4">
        <v>1996</v>
      </c>
      <c r="C4" s="8">
        <v>14.55</v>
      </c>
      <c r="D4" s="9">
        <v>0.14549999999999999</v>
      </c>
    </row>
    <row r="5" spans="1:4" x14ac:dyDescent="0.2">
      <c r="A5" t="s">
        <v>703</v>
      </c>
      <c r="B5">
        <v>2000</v>
      </c>
      <c r="C5" s="8">
        <v>12.63</v>
      </c>
      <c r="D5" s="9">
        <v>0.1263</v>
      </c>
    </row>
    <row r="6" spans="1:4" x14ac:dyDescent="0.2">
      <c r="A6" t="s">
        <v>703</v>
      </c>
      <c r="B6">
        <v>2005</v>
      </c>
      <c r="C6" s="8">
        <v>5.75</v>
      </c>
      <c r="D6" s="9">
        <v>5.7500000000000002E-2</v>
      </c>
    </row>
    <row r="7" spans="1:4" x14ac:dyDescent="0.2">
      <c r="A7" t="s">
        <v>703</v>
      </c>
      <c r="B7">
        <v>2010</v>
      </c>
      <c r="C7" s="8">
        <v>8.98</v>
      </c>
      <c r="D7" s="9">
        <v>8.9800000000000005E-2</v>
      </c>
    </row>
    <row r="8" spans="1:4" x14ac:dyDescent="0.2">
      <c r="A8" t="s">
        <v>703</v>
      </c>
      <c r="B8">
        <v>2015</v>
      </c>
      <c r="C8" s="8">
        <v>15.04</v>
      </c>
      <c r="D8" s="9">
        <v>0.15040000000000001</v>
      </c>
    </row>
    <row r="9" spans="1:4" x14ac:dyDescent="0.2">
      <c r="A9" t="s">
        <v>703</v>
      </c>
      <c r="B9">
        <v>2020</v>
      </c>
      <c r="C9" s="8">
        <v>9.8000000000000007</v>
      </c>
      <c r="D9" s="9">
        <v>9.8000000000000004E-2</v>
      </c>
    </row>
    <row r="10" spans="1:4" x14ac:dyDescent="0.2">
      <c r="A10" t="s">
        <v>704</v>
      </c>
      <c r="B10">
        <v>1989</v>
      </c>
      <c r="C10" s="8">
        <v>29</v>
      </c>
      <c r="D10" s="9">
        <v>0.28999999999999998</v>
      </c>
    </row>
    <row r="11" spans="1:4" x14ac:dyDescent="0.2">
      <c r="A11" t="s">
        <v>704</v>
      </c>
      <c r="B11">
        <v>1994</v>
      </c>
      <c r="C11" s="8">
        <v>33.270000000000003</v>
      </c>
      <c r="D11" s="9">
        <v>0.3327</v>
      </c>
    </row>
    <row r="12" spans="1:4" x14ac:dyDescent="0.2">
      <c r="A12" t="s">
        <v>704</v>
      </c>
      <c r="B12">
        <v>1999</v>
      </c>
      <c r="C12" s="8">
        <v>42.06</v>
      </c>
      <c r="D12" s="9">
        <v>0.42059999999999997</v>
      </c>
    </row>
    <row r="13" spans="1:4" x14ac:dyDescent="0.2">
      <c r="A13" t="s">
        <v>704</v>
      </c>
      <c r="B13">
        <v>2004</v>
      </c>
      <c r="C13" s="8">
        <v>42.43</v>
      </c>
      <c r="D13" s="9">
        <v>0.42430000000000001</v>
      </c>
    </row>
    <row r="14" spans="1:4" x14ac:dyDescent="0.2">
      <c r="A14" t="s">
        <v>704</v>
      </c>
      <c r="B14">
        <v>2009</v>
      </c>
      <c r="C14" s="8">
        <v>3.76</v>
      </c>
      <c r="D14" s="9">
        <v>3.7600000000000001E-2</v>
      </c>
    </row>
    <row r="15" spans="1:4" x14ac:dyDescent="0.2">
      <c r="A15" t="s">
        <v>704</v>
      </c>
      <c r="B15">
        <v>2013</v>
      </c>
      <c r="C15" s="8">
        <v>16.850000000000001</v>
      </c>
      <c r="D15" s="9">
        <v>0.16850000000000001</v>
      </c>
    </row>
    <row r="16" spans="1:4" x14ac:dyDescent="0.2">
      <c r="A16" t="s">
        <v>704</v>
      </c>
      <c r="B16">
        <v>2018</v>
      </c>
      <c r="C16" s="8">
        <v>22.96</v>
      </c>
      <c r="D16" s="9">
        <v>0.2296</v>
      </c>
    </row>
    <row r="17" spans="1:4" x14ac:dyDescent="0.2">
      <c r="A17" t="s">
        <v>705</v>
      </c>
      <c r="B17">
        <v>1988</v>
      </c>
      <c r="C17" s="8">
        <v>9.39</v>
      </c>
      <c r="D17" s="9">
        <v>9.3899999999999997E-2</v>
      </c>
    </row>
    <row r="18" spans="1:4" x14ac:dyDescent="0.2">
      <c r="A18" t="s">
        <v>705</v>
      </c>
      <c r="B18">
        <v>1993</v>
      </c>
      <c r="C18" s="8">
        <v>12.05</v>
      </c>
      <c r="D18" s="9">
        <v>0.1205</v>
      </c>
    </row>
    <row r="19" spans="1:4" x14ac:dyDescent="0.2">
      <c r="A19" t="s">
        <v>705</v>
      </c>
      <c r="B19">
        <v>1998</v>
      </c>
      <c r="C19" s="8">
        <v>16.079999999999998</v>
      </c>
      <c r="D19" s="9">
        <v>0.1608</v>
      </c>
    </row>
    <row r="20" spans="1:4" x14ac:dyDescent="0.2">
      <c r="A20" t="s">
        <v>705</v>
      </c>
      <c r="B20">
        <v>2003</v>
      </c>
      <c r="C20" s="8">
        <v>4.49</v>
      </c>
      <c r="D20" s="9">
        <v>4.4900000000000002E-2</v>
      </c>
    </row>
    <row r="21" spans="1:4" x14ac:dyDescent="0.2">
      <c r="A21" t="s">
        <v>705</v>
      </c>
      <c r="B21">
        <v>2008</v>
      </c>
      <c r="C21" s="8">
        <v>10.47</v>
      </c>
      <c r="D21" s="9">
        <v>0.1047</v>
      </c>
    </row>
    <row r="22" spans="1:4" x14ac:dyDescent="0.2">
      <c r="A22" t="s">
        <v>705</v>
      </c>
      <c r="B22">
        <v>2013</v>
      </c>
      <c r="C22" s="8">
        <v>8.2100000000000009</v>
      </c>
      <c r="D22" s="9">
        <v>8.2100000000000006E-2</v>
      </c>
    </row>
    <row r="23" spans="1:4" x14ac:dyDescent="0.2">
      <c r="A23" t="s">
        <v>705</v>
      </c>
      <c r="B23">
        <v>2018</v>
      </c>
      <c r="C23" s="8">
        <v>14.76</v>
      </c>
      <c r="D23" s="9">
        <v>0.14760000000000001</v>
      </c>
    </row>
    <row r="24" spans="1:4" x14ac:dyDescent="0.2">
      <c r="A24" t="s">
        <v>706</v>
      </c>
      <c r="B24">
        <v>1985</v>
      </c>
      <c r="C24" s="4">
        <v>5</v>
      </c>
      <c r="D24" s="10">
        <v>0.05</v>
      </c>
    </row>
    <row r="25" spans="1:4" x14ac:dyDescent="0.2">
      <c r="A25" t="s">
        <v>706</v>
      </c>
      <c r="B25">
        <v>1991</v>
      </c>
      <c r="C25" s="8">
        <v>17.7</v>
      </c>
      <c r="D25" s="9">
        <v>0.17699999999999999</v>
      </c>
    </row>
    <row r="26" spans="1:4" x14ac:dyDescent="0.2">
      <c r="A26" t="s">
        <v>706</v>
      </c>
      <c r="B26">
        <v>1997</v>
      </c>
      <c r="C26" s="8">
        <v>20.6</v>
      </c>
      <c r="D26" s="9">
        <v>0.20599999999999999</v>
      </c>
    </row>
    <row r="27" spans="1:4" x14ac:dyDescent="0.2">
      <c r="A27" t="s">
        <v>706</v>
      </c>
      <c r="B27">
        <v>2003</v>
      </c>
      <c r="C27" s="8">
        <v>8.4</v>
      </c>
      <c r="D27" s="9">
        <v>8.4000000000000005E-2</v>
      </c>
    </row>
    <row r="28" spans="1:4" x14ac:dyDescent="0.2">
      <c r="A28" t="s">
        <v>706</v>
      </c>
      <c r="B28">
        <v>2009</v>
      </c>
      <c r="C28" s="8">
        <v>15.3</v>
      </c>
      <c r="D28" s="9">
        <v>0.153</v>
      </c>
    </row>
    <row r="29" spans="1:4" x14ac:dyDescent="0.2">
      <c r="A29" t="s">
        <v>706</v>
      </c>
      <c r="B29">
        <v>2015</v>
      </c>
      <c r="C29" s="8">
        <v>30.4</v>
      </c>
      <c r="D29" s="9">
        <v>0.30399999999999999</v>
      </c>
    </row>
    <row r="30" spans="1:4" x14ac:dyDescent="0.2">
      <c r="A30" t="s">
        <v>706</v>
      </c>
      <c r="B30">
        <v>2021</v>
      </c>
      <c r="C30" s="8">
        <v>19.77</v>
      </c>
      <c r="D30" s="9">
        <v>0.19769999999999999</v>
      </c>
    </row>
    <row r="31" spans="1:4" x14ac:dyDescent="0.2">
      <c r="A31" t="s">
        <v>707</v>
      </c>
      <c r="B31">
        <v>1989</v>
      </c>
      <c r="C31" s="8">
        <v>16.37</v>
      </c>
      <c r="D31" s="9">
        <v>0.16370000000000001</v>
      </c>
    </row>
    <row r="32" spans="1:4" x14ac:dyDescent="0.2">
      <c r="A32" t="s">
        <v>707</v>
      </c>
      <c r="B32">
        <v>1994</v>
      </c>
      <c r="C32" s="8">
        <v>19.489999999999998</v>
      </c>
      <c r="D32" s="9">
        <v>0.19489999999999999</v>
      </c>
    </row>
    <row r="33" spans="1:4" x14ac:dyDescent="0.2">
      <c r="A33" t="s">
        <v>707</v>
      </c>
      <c r="B33">
        <v>1999</v>
      </c>
      <c r="C33" s="8">
        <v>19.579999999999998</v>
      </c>
      <c r="D33" s="9">
        <v>0.1958</v>
      </c>
    </row>
    <row r="34" spans="1:4" x14ac:dyDescent="0.2">
      <c r="A34" t="s">
        <v>707</v>
      </c>
      <c r="B34">
        <v>2004</v>
      </c>
      <c r="C34" s="8">
        <v>8.6999999999999993</v>
      </c>
      <c r="D34" s="9">
        <v>8.6999999999999994E-2</v>
      </c>
    </row>
    <row r="35" spans="1:4" x14ac:dyDescent="0.2">
      <c r="A35" t="s">
        <v>707</v>
      </c>
      <c r="B35">
        <v>2009</v>
      </c>
      <c r="C35" s="8">
        <v>13</v>
      </c>
      <c r="D35" s="9">
        <v>0.13</v>
      </c>
    </row>
    <row r="36" spans="1:4" x14ac:dyDescent="0.2">
      <c r="A36" t="s">
        <v>707</v>
      </c>
      <c r="B36">
        <v>2013</v>
      </c>
      <c r="C36" s="8">
        <v>17.03</v>
      </c>
      <c r="D36" s="9">
        <v>0.17030000000000001</v>
      </c>
    </row>
    <row r="37" spans="1:4" x14ac:dyDescent="0.2">
      <c r="A37" t="s">
        <v>707</v>
      </c>
      <c r="B37">
        <v>2018</v>
      </c>
      <c r="C37" s="8">
        <v>18.8</v>
      </c>
      <c r="D37" s="9">
        <v>0.188</v>
      </c>
    </row>
    <row r="38" spans="1:4" x14ac:dyDescent="0.2">
      <c r="A38" t="s">
        <v>708</v>
      </c>
      <c r="B38">
        <v>1986</v>
      </c>
      <c r="C38" s="4">
        <v>4.59</v>
      </c>
      <c r="D38" s="10">
        <v>4.5900000000000003E-2</v>
      </c>
    </row>
    <row r="39" spans="1:4" x14ac:dyDescent="0.2">
      <c r="A39" t="s">
        <v>708</v>
      </c>
      <c r="B39">
        <v>1991</v>
      </c>
      <c r="C39" s="8">
        <v>15.39</v>
      </c>
      <c r="D39" s="9">
        <v>0.15390000000000001</v>
      </c>
    </row>
    <row r="40" spans="1:4" x14ac:dyDescent="0.2">
      <c r="A40" t="s">
        <v>708</v>
      </c>
      <c r="B40">
        <v>1995</v>
      </c>
      <c r="C40" s="8">
        <v>17.149999999999999</v>
      </c>
      <c r="D40" s="9">
        <v>0.17150000000000001</v>
      </c>
    </row>
    <row r="41" spans="1:4" x14ac:dyDescent="0.2">
      <c r="A41" t="s">
        <v>708</v>
      </c>
      <c r="B41">
        <v>2000</v>
      </c>
      <c r="C41" s="8">
        <v>12.41</v>
      </c>
      <c r="D41" s="9">
        <v>0.1241</v>
      </c>
    </row>
    <row r="42" spans="1:4" x14ac:dyDescent="0.2">
      <c r="A42" t="s">
        <v>708</v>
      </c>
      <c r="B42">
        <v>2005</v>
      </c>
      <c r="C42" s="8">
        <v>4.5599999999999996</v>
      </c>
      <c r="D42" s="9">
        <v>4.5600000000000002E-2</v>
      </c>
    </row>
    <row r="43" spans="1:4" x14ac:dyDescent="0.2">
      <c r="A43" t="s">
        <v>708</v>
      </c>
      <c r="B43">
        <v>2010</v>
      </c>
      <c r="C43" s="8">
        <v>10.66</v>
      </c>
      <c r="D43" s="9">
        <v>0.1066</v>
      </c>
    </row>
    <row r="44" spans="1:4" x14ac:dyDescent="0.2">
      <c r="A44" t="s">
        <v>708</v>
      </c>
      <c r="B44">
        <v>2015</v>
      </c>
      <c r="C44" s="8">
        <v>26.76</v>
      </c>
      <c r="D44" s="9">
        <v>0.2676</v>
      </c>
    </row>
    <row r="45" spans="1:4" x14ac:dyDescent="0.2">
      <c r="A45" t="s">
        <v>708</v>
      </c>
      <c r="B45">
        <v>2019</v>
      </c>
      <c r="C45" s="8">
        <v>17.489999999999998</v>
      </c>
      <c r="D45" s="9">
        <v>0.1749</v>
      </c>
    </row>
    <row r="46" spans="1:4" x14ac:dyDescent="0.2">
      <c r="A46" t="s">
        <v>709</v>
      </c>
      <c r="B46">
        <v>1989</v>
      </c>
      <c r="C46" s="8">
        <v>15.56</v>
      </c>
      <c r="D46" s="9">
        <v>0.15559999999999999</v>
      </c>
    </row>
    <row r="47" spans="1:4" x14ac:dyDescent="0.2">
      <c r="A47" t="s">
        <v>709</v>
      </c>
      <c r="B47">
        <v>1994</v>
      </c>
      <c r="C47" s="8">
        <v>16.14</v>
      </c>
      <c r="D47" s="9">
        <v>0.16139999999999999</v>
      </c>
    </row>
    <row r="48" spans="1:4" x14ac:dyDescent="0.2">
      <c r="A48" t="s">
        <v>709</v>
      </c>
      <c r="B48">
        <v>1999</v>
      </c>
      <c r="C48" s="8">
        <v>19.62</v>
      </c>
      <c r="D48" s="9">
        <v>0.19620000000000001</v>
      </c>
    </row>
    <row r="49" spans="1:4" x14ac:dyDescent="0.2">
      <c r="A49" t="s">
        <v>709</v>
      </c>
      <c r="B49">
        <v>2003</v>
      </c>
      <c r="C49" s="8">
        <v>7.97</v>
      </c>
      <c r="D49" s="9">
        <v>7.9699999999999993E-2</v>
      </c>
    </row>
    <row r="50" spans="1:4" x14ac:dyDescent="0.2">
      <c r="A50" t="s">
        <v>709</v>
      </c>
      <c r="B50">
        <v>2008</v>
      </c>
      <c r="C50" s="8">
        <v>12.41</v>
      </c>
      <c r="D50" s="9">
        <v>0.1241</v>
      </c>
    </row>
    <row r="51" spans="1:4" x14ac:dyDescent="0.2">
      <c r="A51" t="s">
        <v>709</v>
      </c>
      <c r="B51">
        <v>2013</v>
      </c>
      <c r="C51" s="8">
        <v>9.34</v>
      </c>
      <c r="D51" s="9">
        <v>9.3399999999999997E-2</v>
      </c>
    </row>
    <row r="52" spans="1:4" x14ac:dyDescent="0.2">
      <c r="A52" t="s">
        <v>709</v>
      </c>
      <c r="B52">
        <v>2018</v>
      </c>
      <c r="C52" s="8">
        <v>15.53</v>
      </c>
      <c r="D52" s="9">
        <v>0.15529999999999999</v>
      </c>
    </row>
    <row r="53" spans="1:4" x14ac:dyDescent="0.2">
      <c r="A53" t="s">
        <v>710</v>
      </c>
      <c r="B53">
        <v>1989</v>
      </c>
      <c r="C53" s="8">
        <v>16.12</v>
      </c>
      <c r="D53" s="9">
        <v>0.16120000000000001</v>
      </c>
    </row>
    <row r="54" spans="1:4" x14ac:dyDescent="0.2">
      <c r="A54" t="s">
        <v>710</v>
      </c>
      <c r="B54">
        <v>1994</v>
      </c>
      <c r="C54" s="8">
        <v>18.39</v>
      </c>
      <c r="D54" s="9">
        <v>0.18390000000000001</v>
      </c>
    </row>
    <row r="55" spans="1:4" x14ac:dyDescent="0.2">
      <c r="A55" t="s">
        <v>710</v>
      </c>
      <c r="B55">
        <v>1999</v>
      </c>
      <c r="C55" s="8">
        <v>27.41</v>
      </c>
      <c r="D55" s="9">
        <v>0.27410000000000001</v>
      </c>
    </row>
    <row r="56" spans="1:4" x14ac:dyDescent="0.2">
      <c r="A56" t="s">
        <v>710</v>
      </c>
      <c r="B56">
        <v>2004</v>
      </c>
      <c r="C56" s="8">
        <v>12.94</v>
      </c>
      <c r="D56" s="9">
        <v>0.12939999999999999</v>
      </c>
    </row>
    <row r="57" spans="1:4" x14ac:dyDescent="0.2">
      <c r="A57" t="s">
        <v>710</v>
      </c>
      <c r="B57">
        <v>2009</v>
      </c>
      <c r="C57" s="8">
        <v>25.12</v>
      </c>
      <c r="D57" s="9">
        <v>0.25119999999999998</v>
      </c>
    </row>
    <row r="58" spans="1:4" x14ac:dyDescent="0.2">
      <c r="A58" t="s">
        <v>710</v>
      </c>
      <c r="B58">
        <v>2014</v>
      </c>
      <c r="C58" s="8">
        <v>23.42</v>
      </c>
      <c r="D58" s="9">
        <v>0.23419999999999999</v>
      </c>
    </row>
    <row r="59" spans="1:4" x14ac:dyDescent="0.2">
      <c r="A59" t="s">
        <v>710</v>
      </c>
      <c r="B59">
        <v>2019</v>
      </c>
      <c r="C59" s="8">
        <v>13.93</v>
      </c>
      <c r="D59" s="9">
        <v>0.13930000000000001</v>
      </c>
    </row>
    <row r="60" spans="1:4" x14ac:dyDescent="0.2">
      <c r="A60" t="s">
        <v>97</v>
      </c>
      <c r="B60">
        <v>1987</v>
      </c>
      <c r="C60" s="8">
        <v>9.7200000000000006</v>
      </c>
      <c r="D60" s="9">
        <v>9.7199999999999995E-2</v>
      </c>
    </row>
    <row r="61" spans="1:4" x14ac:dyDescent="0.2">
      <c r="A61" t="s">
        <v>97</v>
      </c>
      <c r="B61">
        <v>1991</v>
      </c>
      <c r="C61" s="8">
        <v>22.54</v>
      </c>
      <c r="D61" s="9">
        <v>0.22539999999999999</v>
      </c>
    </row>
    <row r="62" spans="1:4" x14ac:dyDescent="0.2">
      <c r="A62" t="s">
        <v>97</v>
      </c>
      <c r="B62">
        <v>1996</v>
      </c>
      <c r="C62" s="8">
        <v>27.94</v>
      </c>
      <c r="D62" s="9">
        <v>0.27939999999999998</v>
      </c>
    </row>
    <row r="63" spans="1:4" x14ac:dyDescent="0.2">
      <c r="A63" t="s">
        <v>97</v>
      </c>
      <c r="B63">
        <v>2001</v>
      </c>
      <c r="C63" s="8">
        <v>20.16</v>
      </c>
      <c r="D63" s="9">
        <v>0.2016</v>
      </c>
    </row>
    <row r="64" spans="1:4" x14ac:dyDescent="0.2">
      <c r="A64" t="s">
        <v>97</v>
      </c>
      <c r="B64">
        <v>2005</v>
      </c>
      <c r="C64" s="8">
        <v>14.83</v>
      </c>
      <c r="D64" s="9">
        <v>0.14829999999999999</v>
      </c>
    </row>
    <row r="65" spans="1:4" x14ac:dyDescent="0.2">
      <c r="A65" t="s">
        <v>97</v>
      </c>
      <c r="B65">
        <v>2010</v>
      </c>
      <c r="C65" s="8">
        <v>25.77</v>
      </c>
      <c r="D65" s="9">
        <v>0.25769999999999998</v>
      </c>
    </row>
    <row r="66" spans="1:4" x14ac:dyDescent="0.2">
      <c r="A66" t="s">
        <v>97</v>
      </c>
      <c r="B66">
        <v>2015</v>
      </c>
      <c r="C66" s="8">
        <v>30.79</v>
      </c>
      <c r="D66" s="9">
        <v>0.30790000000000001</v>
      </c>
    </row>
    <row r="67" spans="1:4" x14ac:dyDescent="0.2">
      <c r="A67" t="s">
        <v>97</v>
      </c>
      <c r="B67">
        <v>2020</v>
      </c>
      <c r="C67" s="8">
        <v>7.1</v>
      </c>
      <c r="D67" s="9">
        <v>7.0999999999999994E-2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11</vt:i4>
      </vt:variant>
    </vt:vector>
  </HeadingPairs>
  <TitlesOfParts>
    <vt:vector size="11" baseType="lpstr">
      <vt:lpstr>Campaigns</vt:lpstr>
      <vt:lpstr>codebook</vt:lpstr>
      <vt:lpstr>UK_council</vt:lpstr>
      <vt:lpstr>fin_bnp</vt:lpstr>
      <vt:lpstr>fin_dvu</vt:lpstr>
      <vt:lpstr>ENG_crime</vt:lpstr>
      <vt:lpstr>GER_crime</vt:lpstr>
      <vt:lpstr>GER_org</vt:lpstr>
      <vt:lpstr>GER_pol</vt:lpstr>
      <vt:lpstr>AUS_crime</vt:lpstr>
      <vt:lpstr>AUS_pol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Zeller</dc:creator>
  <cp:lastModifiedBy>Zeller, Michael</cp:lastModifiedBy>
  <dcterms:created xsi:type="dcterms:W3CDTF">2019-03-18T22:01:45Z</dcterms:created>
  <dcterms:modified xsi:type="dcterms:W3CDTF">2026-08-24T11:27:01Z</dcterms:modified>
</cp:coreProperties>
</file>